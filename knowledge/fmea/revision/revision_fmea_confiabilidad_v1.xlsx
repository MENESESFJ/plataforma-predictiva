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4E4A88C38CAEA9B08B9DC1508DBEE150AE77FD22" xr6:coauthVersionLast="47" xr6:coauthVersionMax="47" xr10:uidLastSave="{00000000-0000-0000-0000-000000000000}"/>
  <bookViews>
    <workbookView xWindow="-120" yWindow="-120" windowWidth="29040" windowHeight="15720" tabRatio="500" firstSheet="2" activeTab="2" xr2:uid="{00000000-000D-0000-FFFF-FFFF00000000}"/>
  </bookViews>
  <sheets>
    <sheet name="Instrucciones" sheetId="1" r:id="rId1"/>
    <sheet name="Resumen" sheetId="2" r:id="rId2"/>
    <sheet name="Modos predictivos" sheetId="3" r:id="rId3"/>
    <sheet name="Síntomas" sheetId="4" r:id="rId4"/>
    <sheet name="Modos RCM" sheetId="5" r:id="rId5"/>
  </sheets>
  <definedNames>
    <definedName name="_xlnm._FilterDatabase" localSheetId="2" hidden="1">'Modos predictivos'!$A$1:$L$9</definedName>
    <definedName name="_xlnm._FilterDatabase" localSheetId="3" hidden="1">Síntomas!$A$1:$O$109</definedName>
    <definedName name="_xlnm._FilterDatabase" localSheetId="4" hidden="1">'Modos RCM'!$A$1:$R$52</definedName>
  </definedNames>
  <calcPr calcId="0" fullCalcOnLoad="1" iterateDelta="1E-4" forceFullCal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2" l="1"/>
  <c r="B8" i="2"/>
  <c r="B7" i="2"/>
  <c r="B6" i="2"/>
  <c r="B5" i="2"/>
  <c r="B4" i="2"/>
  <c r="B3" i="2"/>
  <c r="B2" i="2"/>
</calcChain>
</file>

<file path=xl/sharedStrings.xml><?xml version="1.0" encoding="utf-8"?>
<sst xmlns="http://schemas.openxmlformats.org/spreadsheetml/2006/main" count="2289" uniqueCount="1036">
  <si>
    <t>Revisión FMEA para el modelo predictivo – Motor CAEX</t>
  </si>
  <si>
    <t>Todo el contenido está en estado PROPUESTO y fue generado automáticamente desde la memoria RCM y la lista de síntomas por condición.</t>
  </si>
  <si>
    <t>Qué revisar:</t>
  </si>
  <si>
    <t>1. 'Modos predictivos': modos que usará el modelo, sus señales (variable + dirección) y severidad.</t>
  </si>
  <si>
    <t>2. 'Síntomas': variable y dirección asignadas a cada síntoma y a qué modo predictivo aportan.</t>
  </si>
  <si>
    <t>3. 'Modos RCM': severidad sugerida y código SMCS de cada modo de la memoria.</t>
  </si>
  <si>
    <t>Cómo responder: completar solo las columnas con fondo AMARILLO.</t>
  </si>
  <si>
    <t xml:space="preserve">  Aprobado: S / N.   Corrección: valor correcto si corresponde.   Comentario: libre.</t>
  </si>
  <si>
    <t xml:space="preserve">  Ejemplo: Aprobado = N | Corrección = 'pb_ppm, aumento' | Comentario = 'el plomo indica cojinetes, no bujes'</t>
  </si>
  <si>
    <t>Regla de severidad sugerida (a validar):</t>
  </si>
  <si>
    <t xml:space="preserve">  S o E = 'S' → critica · O = 'S' → alta · falla oculta (H = 'N') → media · resto → baja</t>
  </si>
  <si>
    <t>Severidad de modos predictivos: la mayor entre sus modos RCM padre (por código SMCS).</t>
  </si>
  <si>
    <t>Indicador</t>
  </si>
  <si>
    <t>Valor</t>
  </si>
  <si>
    <t>Modos RCM del sistema</t>
  </si>
  <si>
    <t>Modos RCM con SMCS no encontrado en la matriz</t>
  </si>
  <si>
    <t>Síntomas (sin duplicados)</t>
  </si>
  <si>
    <t>Síntomas de instrumentación (van a Calidad, no al FMEA)</t>
  </si>
  <si>
    <t>Síntomas de código de diagnóstico FMI (revisar caso a caso)</t>
  </si>
  <si>
    <t>Síntomas físicos sin variable asignada</t>
  </si>
  <si>
    <t>Modos predictivos propuestos</t>
  </si>
  <si>
    <t>Ítems revisados (Aprobado S/N) en las tres hojas</t>
  </si>
  <si>
    <t>ID</t>
  </si>
  <si>
    <t>Nombre</t>
  </si>
  <si>
    <t>Severidad</t>
  </si>
  <si>
    <t>Señales (variable:dirección)</t>
  </si>
  <si>
    <t>Códigos SMCS</t>
  </si>
  <si>
    <t>Modos RCM padre</t>
  </si>
  <si>
    <t>Síntomas soporte</t>
  </si>
  <si>
    <t>Modelos con evidencia</t>
  </si>
  <si>
    <t>Evidencia</t>
  </si>
  <si>
    <t>Aprobado</t>
  </si>
  <si>
    <t>Corrección</t>
  </si>
  <si>
    <t>Comentario</t>
  </si>
  <si>
    <t>MFP-01</t>
  </si>
  <si>
    <t>desgaste_cojinetes</t>
  </si>
  <si>
    <t>alta</t>
  </si>
  <si>
    <t>pb_ppm:aumento; cu_ppm:aumento; pqi:aumento; particulado_inspeccion:aumento; presion_aceite:disminucion</t>
  </si>
  <si>
    <t>1000; 1319</t>
  </si>
  <si>
    <t>RCM-002; RCM-038</t>
  </si>
  <si>
    <t>SIN-001; SIN-006; SIN-011; SIN-013; SIN-016; SIN-019; SIN-066; SIN-080; SIN-101; SIN-108; SIN-109; SIN-110; SIN-111</t>
  </si>
  <si>
    <t>793F; 793F Tier 4; 797F; 797F Tier 4</t>
  </si>
  <si>
    <t>Plan Cat: 'Elevated lead alone is often related to sleeve bearings'.</t>
  </si>
  <si>
    <t>MFP-02</t>
  </si>
  <si>
    <t>desgaste_camisas_anillos</t>
  </si>
  <si>
    <t>fe_ppm:aumento; presion_carter:aumento; hollin:aumento; pqi:aumento; particulado_inspeccion:aumento</t>
  </si>
  <si>
    <t>1000</t>
  </si>
  <si>
    <t>RCM-002</t>
  </si>
  <si>
    <t>SIN-005; SIN-010; SIN-011; SIN-013; SIN-017; SIN-018; SIN-068; SIN-093; SIN-108; SIN-109; SIN-110; SIN-111; SIN-113</t>
  </si>
  <si>
    <t>793C; 793D; 793F; 793F Tier 4; 794 AC; 797; 797B; 797F; 797F Tier 4</t>
  </si>
  <si>
    <t>Plan Cat: 'Iron can be sourced to Liners, crankshaft, camshaft'; presión de cárter alta = blowby.</t>
  </si>
  <si>
    <t>MFP-03</t>
  </si>
  <si>
    <t>contaminacion_refrigerante_en_aceite</t>
  </si>
  <si>
    <t>na_ppm:aumento; k_ppm:aumento; cu_ppm:aumento; nivel_refrigerante:disminucion</t>
  </si>
  <si>
    <t>SIN-003; SIN-006; SIN-007; SIN-008; SIN-009; SIN-016; SIN-019; SIN-020; SIN-082; SIN-105</t>
  </si>
  <si>
    <t>Plan Cat: 'Elevated sodium is often related to coolant contamination'; síntomas 'Coolant Transfer'.</t>
  </si>
  <si>
    <t>MFP-04</t>
  </si>
  <si>
    <t>ingreso_abrasivo_polvo</t>
  </si>
  <si>
    <t>media</t>
  </si>
  <si>
    <t>si_ppm:aumento; restriccion_filtro_aire:aumento; fe_ppm:aumento</t>
  </si>
  <si>
    <t>1050; 1054</t>
  </si>
  <si>
    <t>RCM-020; RCM-023; RCM-015</t>
  </si>
  <si>
    <t>SIN-004; SIN-005; SIN-010; SIN-014; SIN-017; SIN-018; SIN-071; SIN-083; SIN-112</t>
  </si>
  <si>
    <t>Síntomas 'Silicon high' y 'Contamination by Dust'.</t>
  </si>
  <si>
    <t>MFP-05</t>
  </si>
  <si>
    <t>dilucion_combustible</t>
  </si>
  <si>
    <t>viscosidad:disminucion</t>
  </si>
  <si>
    <t>1251; 1290</t>
  </si>
  <si>
    <t>RCM-037; RCM-029</t>
  </si>
  <si>
    <t>SIN-002; SIN-015; SIN-096</t>
  </si>
  <si>
    <t>Plan Cat: 'Fuel contamination can cause lower viscosity'.</t>
  </si>
  <si>
    <t>MFP-06</t>
  </si>
  <si>
    <t>sobrecalentamiento</t>
  </si>
  <si>
    <t>temp_refrigerante:aumento; temp_aceite:aumento; nivel_refrigerante:disminucion; presion_refrigerante:disminucion</t>
  </si>
  <si>
    <t>SIN-065; SIN-070; SIN-075; SIN-077; SIN-082; SIN-098; SIN-099; SIN-105</t>
  </si>
  <si>
    <t>Síntomas VIMS de temperatura de refrigerante/aceite y nivel de refrigerante.</t>
  </si>
  <si>
    <t>MFP-07</t>
  </si>
  <si>
    <t>baja_presion_lubricacion</t>
  </si>
  <si>
    <t>critica</t>
  </si>
  <si>
    <t>presion_aceite:disminucion; nivel_aceite:disminucion; viscosidad:disminucion</t>
  </si>
  <si>
    <t>RCM-008; RCM-009; RCM-011; RCM-038</t>
  </si>
  <si>
    <t>SIN-002; SIN-015; SIN-066; SIN-067; SIN-080; SIN-085; SIN-096; SIN-101</t>
  </si>
  <si>
    <t>Síntomas 'Engine Oil Pressure low' / 'Low oil pressure'. Usa presión de ACEITE, no de cárter.</t>
  </si>
  <si>
    <t>MFP-08</t>
  </si>
  <si>
    <t>combustion_deficiente</t>
  </si>
  <si>
    <t>temp_escape:aumento; temp_escape_diferencial:aumento; hollin:aumento; temp_admision:aumento; presion_admision:desviacion</t>
  </si>
  <si>
    <t>1052; 1054; 1064; 1290</t>
  </si>
  <si>
    <t>RCM-037; RCM-019; RCM-027; RCM-020; RCM-023</t>
  </si>
  <si>
    <t>SIN-017; SIN-053; SIN-061; SIN-062; SIN-064; SIN-073; SIN-074; SIN-079; SIN-084; SIN-087; SIN-097; SIN-100; SIN-104; SIN-113</t>
  </si>
  <si>
    <t>793F; 794 AC; 797; 797B; 797F; 797F Tier 4</t>
  </si>
  <si>
    <t>Síntomas de escape, admisión (IMAT/boost) y hollín.</t>
  </si>
  <si>
    <t>ID:</t>
  </si>
  <si>
    <t>Nombre:</t>
  </si>
  <si>
    <t>Severidad:</t>
  </si>
  <si>
    <t>Señales:</t>
  </si>
  <si>
    <t>Códigos SMCS:</t>
  </si>
  <si>
    <t>Modos RCM padre:</t>
  </si>
  <si>
    <t>Síntomas soporte:</t>
  </si>
  <si>
    <t>Modelos aplicables:</t>
  </si>
  <si>
    <t>Evidencia:</t>
  </si>
  <si>
    <t>pb_ppm:aumento; cu_ppm:aumento; pqi:aumento; particulado_inspeccion:presencia; presion_aceite:disminucion</t>
  </si>
  <si>
    <t>1203;1000</t>
  </si>
  <si>
    <t>793F; 793F Tier 4; 794 AC; 797F; 797F Tier 4; 798 AC</t>
  </si>
  <si>
    <t>Plan Cat: “Elevated lead alone is often related to sleeve bearings”.</t>
  </si>
  <si>
    <t>S</t>
  </si>
  <si>
    <t>presion_carter:aumento; fe_ppm:aumento; pqi:aumento; particulado_inspeccion:presencia; hollin:aumento</t>
  </si>
  <si>
    <t>1000; 1213; 1215; 1216; 1239</t>
  </si>
  <si>
    <t>793C; 793D; 793F; 793F Tier 4; 794 AC; 797; 797B; 797F; 797F Tier 4; 798 AC</t>
  </si>
  <si>
    <t>Plan Cat: el hierro puede originarse en camisas, cigüeñal o árbol de levas. La presión de cárter elevada es un indicador indirecto de blowby y pérdida de sellado, pero debe descartarse una restricción del respiradero del cárter.</t>
  </si>
  <si>
    <t>na_ppm:aumento; k_ppm:aumento; nivel_refrigerante:disminucion; cu_ppm:aumento</t>
  </si>
  <si>
    <t>1124; 1217; 1378</t>
  </si>
  <si>
    <t>RCM-002 (pendiente de validar)</t>
  </si>
  <si>
    <t>SIN-003; SIN-006; SIN-007; SIN-008; SIN-009; SIN-016; SIN-019; SIN-020; SIN-082; SIN-105 (pendientes de revisión individual)</t>
  </si>
  <si>
    <t>Plan Cat: “Elevated sodium is often related to coolant contamination”. Na y K son señales principales; la disminución de refrigerante aporta soporte. Cu es contextual y puede orientar a un enfriador, pero no confirma por sí solo la contaminación.</t>
  </si>
  <si>
    <t>1050; 1051; 1054; 1068; 1071</t>
  </si>
  <si>
    <t>RCM-015; RCM-020; RCM-023</t>
  </si>
  <si>
    <t>Silicon High, Dust Contamination, restricción de admisión y aumento de Fe compatible con desgaste abrasivo originado en el sistema de admisión de aire.</t>
  </si>
  <si>
    <t>1251; 1254; 1290</t>
  </si>
  <si>
    <t>Plan Cat: “Fuel contamination can cause lower viscosity”. La disminución de viscosidad es compatible con dilución por combustible. SMCS 1251 identifica la bomba de inyección; 1254, la válvula o boquilla de inyección; y 1290, el inyector unitario.</t>
  </si>
  <si>
    <t>1350; 1353; 1355; 1361; 1378</t>
  </si>
  <si>
    <t>Síntomas VIMS de alta temperatura de refrigerante y aceite, bajo nivel de refrigerante y pérdida de desempeño del sistema de enfriamiento. SMCS 1350 identifica el sistema; 1353, radiador; 1355, termostato; 1361, bomba de agua; y 1378, enfriador de aceite.</t>
  </si>
  <si>
    <t>1300; 1304; 1308; 1315; 1319</t>
  </si>
  <si>
    <t>Síntomas “Engine Oil Pressure Low” y “Low Oil Pressure”. Debe utilizar presión de aceite, no presión de cárter. SMCS 1300 identifica el sistema de lubricación; 1304, bomba de aceite; 1308, filtro; 1315, válvula de alivio; y 1319, bomba de prelubricación.</t>
  </si>
  <si>
    <t>793F; 793F Tier 4; 794 AC; 797; 797B; 797F; 797F Tier 4; 798 AC</t>
  </si>
  <si>
    <t>Síntomas de temperatura de escape, diferencial entre cilindros, temperatura y presión de admisión, boost y hollín. SMCS 1052 identifica turboalimentador; 1054, filtro secundario de aire; 1064, núcleo del aftercooler; y 1290, inyector unitario.</t>
  </si>
  <si>
    <t>Categoría</t>
  </si>
  <si>
    <t>Rutina</t>
  </si>
  <si>
    <t>Modo (origen)</t>
  </si>
  <si>
    <t>Síntoma</t>
  </si>
  <si>
    <t>Variable</t>
  </si>
  <si>
    <t>Dirección</t>
  </si>
  <si>
    <t>Unidad</t>
  </si>
  <si>
    <t>Modos predictivos</t>
  </si>
  <si>
    <t>Modelos</t>
  </si>
  <si>
    <t>Plan de acción</t>
  </si>
  <si>
    <t>Origen</t>
  </si>
  <si>
    <t>SIN-001</t>
  </si>
  <si>
    <t>aceite_lab</t>
  </si>
  <si>
    <t>SOS</t>
  </si>
  <si>
    <t>Wear element.</t>
  </si>
  <si>
    <t>Lead high</t>
  </si>
  <si>
    <t>pb_ppm</t>
  </si>
  <si>
    <t>aumento</t>
  </si>
  <si>
    <t>ppm</t>
  </si>
  <si>
    <t>797F</t>
  </si>
  <si>
    <t>Elevated lead alone is often related to sleeve bearings Re sample to confirm readings Confirm if fluid hours have been extended and justify elevated readings Inspect filters, plugs and screens for any signs of metal or debris Inspect breathers, coupler, clamps, seals for condition to limit dirt ingestion Confirm correct oil viscosity for application</t>
  </si>
  <si>
    <t>ENGINE!17</t>
  </si>
  <si>
    <t>SIN-002</t>
  </si>
  <si>
    <t>Engine Oil</t>
  </si>
  <si>
    <t>Viscosity does not meet expected limits</t>
  </si>
  <si>
    <t>viscosidad</t>
  </si>
  <si>
    <t>disminucion</t>
  </si>
  <si>
    <t>cSt</t>
  </si>
  <si>
    <t>MFP-05; MFP-07</t>
  </si>
  <si>
    <t>Confirm if oil grade was changed. Fuel contamination can cause lower viscosity. Use CAT ET to confirm injector operation. Trouble shoot HPFP for possible source of fuel contamination. Run priming fuel pump with magnetic plug from HPFP removed.</t>
  </si>
  <si>
    <t>ENGINE!33</t>
  </si>
  <si>
    <t>SIN-003</t>
  </si>
  <si>
    <t>Sodium high</t>
  </si>
  <si>
    <t>na_ppm</t>
  </si>
  <si>
    <t>Elevated sodium is often related to coolant contamination. Supporting indicators are K, Si. Resample to confirm readings. Monitor engine oil and coolant levels. Inspect expansion tank for signs of oil in the coolant. Inspect for external leaks at water pumps and cylinder block. Possible integral gasket failure, inspect for visible change in the exhaust. Less common are liner seals or cracks.</t>
  </si>
  <si>
    <t>ENGINE!35</t>
  </si>
  <si>
    <t>SIN-004</t>
  </si>
  <si>
    <t>Silicon high</t>
  </si>
  <si>
    <t>si_ppm</t>
  </si>
  <si>
    <t>797F; 797F Tier 4</t>
  </si>
  <si>
    <t>Inspect: -Filter seal / condition -tension of clamps -condition of coupler / elbow -condition of pipe</t>
  </si>
  <si>
    <t>ENGINE!36</t>
  </si>
  <si>
    <t>SIN-005</t>
  </si>
  <si>
    <t>Iron high</t>
  </si>
  <si>
    <t>fe_ppm</t>
  </si>
  <si>
    <t>MFP-02; MFP-04</t>
  </si>
  <si>
    <t>Iron can be sourced to Liners, crankshaft, camshaft. Look for the root cause of elevated iron. New component. Recent repairs. contamination causing third body abrasion. Supporting wear metals that may indicate component failure. Cut open and inspect filter.</t>
  </si>
  <si>
    <t>ENGINE!39</t>
  </si>
  <si>
    <t>SIN-006</t>
  </si>
  <si>
    <t>Copper high</t>
  </si>
  <si>
    <t>cu_ppm</t>
  </si>
  <si>
    <t>MFP-01; MFP-03</t>
  </si>
  <si>
    <t>Elevated copper can be related to wear of brass components. Supporting indicators are Pb, Sn, Ni. Brass components can be a crank or cam thrust washers, Cooler Core, Severe sleeve bearing wear (precursor Pb, Sn). Copper on its own if often related to cooler leaching. Confirm if there were a change in oil type or contaminants (IE: coolant, Oxidation) causing cooler core leaching which is not related to wear. Inspect filters and plugs for signs of contaminants in the system causing third body abrasion (dirt, soot, metals, etc).</t>
  </si>
  <si>
    <t>ENGINE!40</t>
  </si>
  <si>
    <t>SIN-007</t>
  </si>
  <si>
    <t>Contaminated Oil</t>
  </si>
  <si>
    <t>Increase in Potassium (K)</t>
  </si>
  <si>
    <t>k_ppm</t>
  </si>
  <si>
    <t>Check present alerts Perform hot plate tests to discard or confirm contamination take against sample Check vents for possible condensation Check washing process and possible leaks Check water pump status Check coolers Replace oil and filters</t>
  </si>
  <si>
    <t>ENGINE!8</t>
  </si>
  <si>
    <t>SIN-009</t>
  </si>
  <si>
    <t>Traspaso refrigerante</t>
  </si>
  <si>
    <t>Contamination by Sodium (Na)</t>
  </si>
  <si>
    <t>Field tests such as hot plate must be carried out to determine contamination of the refrigerant to the lubrication system. Inspect oil level, engine vent for condensation. Check for leaks by UF and by coolant pump acknowledgment. If the condition is maintained, the engine oil cooler should be evaluated. After the repair, oil and filter changes must be made. Take lubrication and temperature pressures. Schedule a new sample for the next 50 hours to monitor trends.</t>
  </si>
  <si>
    <t>ENGINE!19</t>
  </si>
  <si>
    <t>SIN-010</t>
  </si>
  <si>
    <t>Metallic piece</t>
  </si>
  <si>
    <t>Iron (Fe) particles increasing</t>
  </si>
  <si>
    <t>Perform internal inspection with borescope to assess the level of wear to determine the change of component Perform mitigation plan (oil change) as long as the component is reprogrammed for component change Keep on monitoring until the component replacement</t>
  </si>
  <si>
    <t>ENGINE!20</t>
  </si>
  <si>
    <t>Retirar MFP-04</t>
  </si>
  <si>
    <t>El hierro y las partículas metálicas respaldan MFP-02; no existe evidencia explícita de polvo o silicio para MFP-04.</t>
  </si>
  <si>
    <t>SIN-011</t>
  </si>
  <si>
    <t>Wear Element</t>
  </si>
  <si>
    <t>PQI Value increases</t>
  </si>
  <si>
    <t>pqi</t>
  </si>
  <si>
    <t>indice</t>
  </si>
  <si>
    <t>MFP-01; MFP-02</t>
  </si>
  <si>
    <t>Perform inspection of particulate routines Check lubrication pressures Take new sample for trend control</t>
  </si>
  <si>
    <t>ENGINE!30</t>
  </si>
  <si>
    <t>SIN-013</t>
  </si>
  <si>
    <t>High levels of Metallic Particulate</t>
  </si>
  <si>
    <t>particulado_inspeccion</t>
  </si>
  <si>
    <t>nivel</t>
  </si>
  <si>
    <t>Perform particulate routine evaluations (patch test, filter cut and grid inspection) Depending on the engine hours, check and subsequent regulation of motor valves should be carried out only those that are out of range Perform inspection for possible leakage of oil (remove) Take oil pressures and take new oil sample for trend control</t>
  </si>
  <si>
    <t>ENGINE!44</t>
  </si>
  <si>
    <t>P</t>
  </si>
  <si>
    <t>REVISAR DIRECCIÓN</t>
  </si>
  <si>
    <t>Mantener aumento sólo si particulado_inspeccion posee escala ordinal; de lo contrario usar presencia.</t>
  </si>
  <si>
    <t>SIN-015</t>
  </si>
  <si>
    <t>Viscosity</t>
  </si>
  <si>
    <t>Low Viscosity</t>
  </si>
  <si>
    <t>Take 2 samples to perform field tests with viscometer and another to send to the laboratory. Take lubrication pressures and pressure trend analysis. Perform evaluation of diagnostic codes of injectors and visually check those that present problems to evaluate possible leaks at the top. (Trouble coils) Perform cylinder cutting Perform high pump magnetic plug inspection Check transfer pump status Pressurize fuel system to determine possible leaks of injector ring seals Use diagnostic reference information REHS3007</t>
  </si>
  <si>
    <t>ENGINE!51</t>
  </si>
  <si>
    <t>SIN-017</t>
  </si>
  <si>
    <t>Soot (St) Excess</t>
  </si>
  <si>
    <t>Soot (St) and Iron (Fe) High Values</t>
  </si>
  <si>
    <t>fe_ppm; hollin</t>
  </si>
  <si>
    <t>aumento; aumento</t>
  </si>
  <si>
    <t>ppm; %</t>
  </si>
  <si>
    <t>MFP-02; MFP-08</t>
  </si>
  <si>
    <t>Verify the accuracy of service to determine the action plan (do not consider engines with oil hours extension) Perform event control by air filter saturations and low power arrests to complement analysis. Complement analysis of particulate routines as appropriate (filters, grilles and patch test) According to the engine hours a check and subsequent regulation of motor valves should be carried out only those that are out of range Take lubrication pressures in a manometric way and temperature of operation Take a new sample for trend control</t>
  </si>
  <si>
    <t>ENGINE!56</t>
  </si>
  <si>
    <t>Retirar MFP-04; corregir Stoot por Soot</t>
  </si>
  <si>
    <t>Fe y hollín aportan soporte a desgaste de camisas/anillos y combustión deficiente; no prueban ingreso de polvo.</t>
  </si>
  <si>
    <t>SIN-019</t>
  </si>
  <si>
    <t>Copper (Cu) High Values</t>
  </si>
  <si>
    <t>Check if there is a change of previous cooler or a change of engine, this condition is considered normal (leaching process) Take new sample for trend control Perform patch test and / or filter cut</t>
  </si>
  <si>
    <t>ENGINE!62</t>
  </si>
  <si>
    <t>Corregir Cupper por Copper</t>
  </si>
  <si>
    <t>Se mantiene la trazabilidad en Origen.</t>
  </si>
  <si>
    <t>SIN-020</t>
  </si>
  <si>
    <t>Coolant Transfer</t>
  </si>
  <si>
    <t>Sodium (Na) and Potassium (K) High Values</t>
  </si>
  <si>
    <t>na_ppm; k_ppm</t>
  </si>
  <si>
    <t>ppm; ppm</t>
  </si>
  <si>
    <t>ENGINE!69</t>
  </si>
  <si>
    <t>Corregir Potassiuk por Potassium</t>
  </si>
  <si>
    <t>La combinación Na/K respalda contaminación por refrigerante.</t>
  </si>
  <si>
    <t>SIN-021</t>
  </si>
  <si>
    <t>evento_diagnostico</t>
  </si>
  <si>
    <t>VIMS</t>
  </si>
  <si>
    <t>High pressure fuel pump</t>
  </si>
  <si>
    <t>FMI 9 - Abnormal Update Rate</t>
  </si>
  <si>
    <t>794 AC; 797F; 797F Tier 4; 798 AC</t>
  </si>
  <si>
    <t>The events appearing are “Fuel Control Valve: Special Instruction” (263-18-14) “SAE J1939 Data Link #2” (263-2348-9). "Fuel Control Valve: Abnormal Update Rate" (36-18-9) Are events are associated with the FCV communication.</t>
  </si>
  <si>
    <t>HPFP!7; ENGINE!22; ENGINE 798AC!13</t>
  </si>
  <si>
    <t>SIN-022</t>
  </si>
  <si>
    <t>Temperature control module(E-stat)</t>
  </si>
  <si>
    <t>The increasing number of 2854 - 9 events indicate that the TCM. (E Stat) cannot communicate with the engine ECM. Perform circuit testing of the CAN Datalink. ( SiS M0069788-02) *Note* A Fluke 123 meter can be a helpful tool for Datalink troubleshooting.</t>
  </si>
  <si>
    <t>ENGINE!25; RADIATOR!8</t>
  </si>
  <si>
    <t>SIN-023</t>
  </si>
  <si>
    <t>FMI 12 - Failure</t>
  </si>
  <si>
    <t>Check magnetic plugs for debris , replace HPCR fuel pump as soon as possible. The event 1684-12 is registered and due to the failure mode (FMI12) there are internal problems of the high pump, this must be replaced as soon as possible, since it will have an imminent failure (As it indicates internal bulletin TIBU2015067)</t>
  </si>
  <si>
    <t>ENGINE!28; ENGINE 798AC!14</t>
  </si>
  <si>
    <t>SIN-024</t>
  </si>
  <si>
    <t>Fuel injector</t>
  </si>
  <si>
    <t>FMI 7 - Not Responding Properly</t>
  </si>
  <si>
    <t>Perform Fuel system verification.Replace fuel injectors that remain - 07 codes at next service interval.</t>
  </si>
  <si>
    <t>ENGINE!30; ENGINE 798AC!15</t>
  </si>
  <si>
    <t>SIN-025</t>
  </si>
  <si>
    <t>Mechanical Element</t>
  </si>
  <si>
    <t>FMI-12 - HPFP Resonator Element</t>
  </si>
  <si>
    <t>Once the resonator event (1684-12) has been presented, the HPFP pump must be checked and the equipment stopped immediately Replace the high fuel pump Inspect the outgoing pump magnetic plug to identify if there is any type of particulate and perform the following steps: 1- If the magnetic plug of the removed pump shows excessive contamination, it indicates that the failure of the pump did NOT generate contamination for the fuel system, since the fault is in the lower part of the pump. The equipment can be sent to operation without additional interventions. 2- If the magnetic plug of the pump does NOT have excessive contamination, the “in-line high-pressure fuel filter element” (also known as “edge filter” or “edge filter”) must be replaced. Once the edge filter is replaced, "Injector Bypass Fuel Flow - Test" must be performed, available in SIS MS075103</t>
  </si>
  <si>
    <t>ENGINE!59</t>
  </si>
  <si>
    <t>Corregir elemnt y normalizar descripción</t>
  </si>
  <si>
    <t>Evento discreto; puede estructurarse más adelante como presencia de evento.</t>
  </si>
  <si>
    <t>SIN-026</t>
  </si>
  <si>
    <t>FMI-07 - Injector Failure</t>
  </si>
  <si>
    <t>Use ET tool to check active codes, download product status and ECM replacement file. With the ECM replacement file perform the analysis of the VOT chart to define the injectors with problems (only for contracts that use the VOT analyzes) With the report of the product status or background vims check when the first injector events were generated with FMI-07. Schedule injector replacement before exceeding 1,500 hours of operation since the first FMI-07 event was generated.</t>
  </si>
  <si>
    <t>ENGINE!63</t>
  </si>
  <si>
    <t>Corregir Faliure por Failure</t>
  </si>
  <si>
    <t>SIN-027</t>
  </si>
  <si>
    <t>instrumentacion</t>
  </si>
  <si>
    <t>Electrical Failure</t>
  </si>
  <si>
    <t>Without Communication</t>
  </si>
  <si>
    <t>797B; 797F</t>
  </si>
  <si>
    <t>Check communication lines and connectors Check GPRS module</t>
  </si>
  <si>
    <t>CONVERTER!19</t>
  </si>
  <si>
    <t>SIN-028</t>
  </si>
  <si>
    <t>Electrical</t>
  </si>
  <si>
    <t>To check communication lines and connectors Check GPRS module</t>
  </si>
  <si>
    <t>REAR DIFFERENTIAL!20</t>
  </si>
  <si>
    <t>SIN-029</t>
  </si>
  <si>
    <t>Temperature sensor</t>
  </si>
  <si>
    <t>FMI 19 - Data Error</t>
  </si>
  <si>
    <t>794 AC; 797B; 797F; 797F Tier 4; 798 AC</t>
  </si>
  <si>
    <t>- Inspect coolant pump outlet temperature sensor and wiring/connectors. - Physically inspect sensor probe for signs of erosion. - Confirm functionality of CAN data link between sensor and TCM. - Refer to KENR5398-24 for troubleshooting event 2349-19</t>
  </si>
  <si>
    <t>EQUIPMENT!7; ENGINE!18; ENGINE 798AC!10; EQUIPMENT 798AC!6</t>
  </si>
  <si>
    <t>SIN-030</t>
  </si>
  <si>
    <t>Turbocharger Turbine intake temperature</t>
  </si>
  <si>
    <t>FMI 4 - Voltage Below Normal</t>
  </si>
  <si>
    <t>794 AC; 797; 797B; 797F; 797F Tier 4; 798 AC</t>
  </si>
  <si>
    <t>Inspect harness and connectors for damage Connect ET and verify sensor operation Replace sensor and thermowell (Best practice to replace in pairs.)</t>
  </si>
  <si>
    <t>EQUIPMENT!10; ENGINE!20; ENGINE 798AC!12; EQUIPMENT 798AC!9</t>
  </si>
  <si>
    <t>SIN-031</t>
  </si>
  <si>
    <t>Electric</t>
  </si>
  <si>
    <t>Perform a new evaluation with ET diagnostic tool at the time of your arrest Evaluate the connector, sensor and harness according to the FMI detected. Check electronic device for problems Perform system tests to verify proper functioning.</t>
  </si>
  <si>
    <t>EQUIPMENT!21</t>
  </si>
  <si>
    <t>SIN-032</t>
  </si>
  <si>
    <t>Without Contamination</t>
  </si>
  <si>
    <t>RR FINAL DRIVE!13; RL FINAL DRIVE!13</t>
  </si>
  <si>
    <t>SIN-033</t>
  </si>
  <si>
    <t>Erratic signal.</t>
  </si>
  <si>
    <t>FMI 2 - Erratic, Intermittent, or Incorrect</t>
  </si>
  <si>
    <t>Refer to M0069788-05. Sensor Signal (Analog, Active) - Test</t>
  </si>
  <si>
    <t>ENGINE!6</t>
  </si>
  <si>
    <t>SIN-034</t>
  </si>
  <si>
    <t>Pressure sensor</t>
  </si>
  <si>
    <t>Connect ET to find active sensor codes. Trouble shoot sensor supply. Document KENR5398-25 for work aid.</t>
  </si>
  <si>
    <t>SIN-035</t>
  </si>
  <si>
    <t>Speed sensor</t>
  </si>
  <si>
    <t>FMI 8 - Abnormal Frequency, Pulse Width, or Period</t>
  </si>
  <si>
    <t>793F; 794 AC; 797F; 797F Tier 4; 798 AC</t>
  </si>
  <si>
    <t>- Hookup ET and check for codes/sensor communication - Inspect sensor condition. Check SIS for sensor resistance. - Inspect harness condition. Check for opens or shorts in the harness.</t>
  </si>
  <si>
    <t>ENGINE!11; ENGINE 798AC!8</t>
  </si>
  <si>
    <t>SIN-036</t>
  </si>
  <si>
    <t>Current Low</t>
  </si>
  <si>
    <t>793F; 797F</t>
  </si>
  <si>
    <t>Connect ET Perform injector solenoid test. Repair/replace failed harness/connectors. Replace Fuel injector. Install trim code. Perform fuel verification test.</t>
  </si>
  <si>
    <t>ENGINE!12</t>
  </si>
  <si>
    <t>SIN-037</t>
  </si>
  <si>
    <t>Current High</t>
  </si>
  <si>
    <t>Connect ET. Perform injector solenoid test. Repair/replace harness/connectors. Replace injector. Replace trim file. Perform fuel verification.</t>
  </si>
  <si>
    <t>ENGINE!14</t>
  </si>
  <si>
    <t>SIN-038</t>
  </si>
  <si>
    <t>Exhaust</t>
  </si>
  <si>
    <t>794 AC; 797F; 797F Tier 4</t>
  </si>
  <si>
    <t>Inspect harness and connections.( Buffer condition) Hook up ET verify sensor operation Perform wiggle test Replace sensor</t>
  </si>
  <si>
    <t>ENGINE!21</t>
  </si>
  <si>
    <t>SIN-039</t>
  </si>
  <si>
    <t>Loss of Communication</t>
  </si>
  <si>
    <t>No tendency for loss of communication - FMI19</t>
  </si>
  <si>
    <t>Conduct evaluation of the electrical system, check codes and active events associated with the engine ECM Perform inspection of the motor ECM connectors and main vims. Perform manual download of the vims mainly from the trend memory for later analysis. Review versions of software loaded in the ECM engine. Report on the work done to track and verify condition of parameters.</t>
  </si>
  <si>
    <t>ENGINE!9</t>
  </si>
  <si>
    <t>SIN-040</t>
  </si>
  <si>
    <t>FMI-08 - Electrical Problem</t>
  </si>
  <si>
    <t>Realizar una nueva evaluación con herramienta de diagnóstico ET y verificar si se mantiene el código activo FMI-08 ( Frecuencia o pulso PWM anormal) Revisar conector,sensor de velocidad y arnes , chequear que no exista contaminación , aislamiento o daños en lo posible desmontar y revisar el sensor (Pick-Up magnético) Medir el voltaje de alimentación del sensor Realizar puesta en marcha para verificar funcionamiento , códigos y velocidades entregada.</t>
  </si>
  <si>
    <t>ENGINE!13</t>
  </si>
  <si>
    <t>SIN-041</t>
  </si>
  <si>
    <t>Erratic Signal</t>
  </si>
  <si>
    <t>FMI-05 - Electrical Problem</t>
  </si>
  <si>
    <t>Ensure that the diagnostic code present FMI-05 is maintained at the time of the evaluation. If the connector and connection are in good condition continue with the evaluation. Measure the resistance of the relay and harness to identify the part of the harness that encounters problems. Perform operational tests to verify its proper functioning.</t>
  </si>
  <si>
    <t>ENGINE!15</t>
  </si>
  <si>
    <t>REVISAR DESCRIPCIÓN FMI-05</t>
  </si>
  <si>
    <t>La descripción Erratic Signal puede no representar correctamente FMI-05. Validar contra el código diagnóstico fuente.</t>
  </si>
  <si>
    <t>SIN-042</t>
  </si>
  <si>
    <t>Electric Frequencies</t>
  </si>
  <si>
    <t>High fan speed</t>
  </si>
  <si>
    <t>Use ET tool to check electrical codes associated with the ECM brakes and solenoid displacement Verify that the engine, brakes, aftercooler, converter and transmission temperatures are correct before any intervention Perform calibration with ET tool If the condition is maintained, the conditions must be taken pressures and adjust if the condition warrants according to reference information RSNR2571-03</t>
  </si>
  <si>
    <t>SIN-043</t>
  </si>
  <si>
    <t>FMI-04 - Electrical Problem</t>
  </si>
  <si>
    <t>Perform a new evaluation with ET diagnostic tool and check if the active code FMI-04 is maintained (normal voltage or short circuit to ground) Check sensor connector and wiring, harness and physical condition of the sensor. Check the supply voltage, signal delivered by the sensor and resistance. Perform system tests to check the correct operation of reading and code removal</t>
  </si>
  <si>
    <t>ENGINE!18</t>
  </si>
  <si>
    <t>SIN-044</t>
  </si>
  <si>
    <t>Motor Speed Sensor</t>
  </si>
  <si>
    <t>Check sensor assembly installation Inspection of electrical connectors and wiring Perform a 45 N (10 lb) tensile test on the connector wires. Check the harness to see if there are abrasions and pinch points. Check the supply voltage to the sensors Measure the voltage at the sensor connectors between terminals A and terminal B Check the signal voltage at the sensor. Check the signal voltage at the ECM. Check the supply voltage of the motor speed / synchronization sensors in the ECM</t>
  </si>
  <si>
    <t>SIN-045</t>
  </si>
  <si>
    <t>FMI09 - ECM</t>
  </si>
  <si>
    <t>Refer to: Media number -KENR5398-25 / Document Number-i07508740- Data link - Test.</t>
  </si>
  <si>
    <t>ENGINE!22</t>
  </si>
  <si>
    <t>SIN-046</t>
  </si>
  <si>
    <t>FMI-02 - Electrical Problem</t>
  </si>
  <si>
    <t>Perform a new evaluation with ET diagnostic tool at the time of your arrest. Evaluate according to the FMI detected the connector, sensor and harness Verify Installed Software that corresponds according to updates Electronic device for problems Perform system tests to verify proper operation.</t>
  </si>
  <si>
    <t>ENGINE!29</t>
  </si>
  <si>
    <t>SIN-047</t>
  </si>
  <si>
    <t>Check status and thermocouple reading Review Engine ECM status</t>
  </si>
  <si>
    <t>ENGINE!32</t>
  </si>
  <si>
    <t>SIN-048</t>
  </si>
  <si>
    <t>Fuel High Temperature</t>
  </si>
  <si>
    <t>Perform evaluation of the active codes at the time of their arrest. Evaluate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In case of keeping above 40 ° C, check HPFP pump hours, inspection of magnetic plug.</t>
  </si>
  <si>
    <t>ENGINE!34</t>
  </si>
  <si>
    <t>SIN-049</t>
  </si>
  <si>
    <t>Wrong Data</t>
  </si>
  <si>
    <t>Perform a new evaluation with ET diagnostic tool at the time of your arrest to check the registered codes. Evaluate according to the IMF detected the connector, valves and harness measuring its voltage, resistance using reference information -KENR5398 Perform system tests using ET in parameter status to check the proper functioning of the accelerator and the percentage of the FCV. Engine Low Vacuum FCV must be 10-15% - Engine High Vacuum FCV must be 20-25%., Engine at full load FCV must be 40-50% Check fan filter status and check system In case of finding metallic particulate, it must be informed to check the system and replace the corresponding component.</t>
  </si>
  <si>
    <t>SIN-050</t>
  </si>
  <si>
    <t>FMI-03 - Electrical Problem</t>
  </si>
  <si>
    <t>Perform a new evaluation with ET diagnostic tool and verify if the active code FMI-03 (voltage above normal) is maintained Check connector, sensor and harness, check for contamination, insulation. Perform harness vibration test with ET tool (Only if necessary) Perform system tests to check the correct operation of reading and code removal</t>
  </si>
  <si>
    <t>ENGINE!72</t>
  </si>
  <si>
    <t>SIN-051</t>
  </si>
  <si>
    <t>STEERING SYSTEM!21; BREAK SYSTEM!20; TRANSMISSION!21</t>
  </si>
  <si>
    <t>SIN-052</t>
  </si>
  <si>
    <t>VisionLink</t>
  </si>
  <si>
    <t>Perform a new evaluation with ET diagnostic tool and verify if the active code FMI-09 is maintained Verify the data link resistance Verify the power supply and the ground connection on the device identified by the fault code check software compatibility. Check connector, sensor and harness, check for contamination, insulation. Perform harness vibration test with ET tool (Only if necessary) Perform system tests to check the correct operation of reading and code removal</t>
  </si>
  <si>
    <t>ENGINE!23</t>
  </si>
  <si>
    <t>SIN-053</t>
  </si>
  <si>
    <t>parametro_operacional</t>
  </si>
  <si>
    <t>Temperature High</t>
  </si>
  <si>
    <t>temp_escape</t>
  </si>
  <si>
    <t>°C</t>
  </si>
  <si>
    <t>Using Cat ET check for related codes. Inspect exhaust system for damaged/leaking bellows, broken clamps/bolts. Be aware of directional bellows installation. Perform fuel injector tests. Verify turbochargers condition. Check Exhaust temperature sensors wiring condition and thermowell orientation. Check valvetrain condition for broken/damaged components.</t>
  </si>
  <si>
    <t>ENGINE!31</t>
  </si>
  <si>
    <t>SIN-054</t>
  </si>
  <si>
    <t>Over heated</t>
  </si>
  <si>
    <t>Fuel High Temp</t>
  </si>
  <si>
    <t>temp_combustible</t>
  </si>
  <si>
    <t>To inspect the pressure regulating valve and perform cleaning or replacement if necessary. Evaluate the operation of the fuel temperature sensors (connectors and wiring in good condition). Operate the engine until it reaches normal operating temperature and with the use of the electronic tool ET verify fuel temperature difference (Rail Temperature and Fuel Temperature before High Pump). If it is maintained above 40°C, it must be confirmed if the increase corresponds to the output T ° of the HPFP pump. Complement evaluation with inspection of high HPFP magnetic pump caps and determine a possible change of high HPFP pump according to results.</t>
  </si>
  <si>
    <t>HPFP!13</t>
  </si>
  <si>
    <t>SIN-055</t>
  </si>
  <si>
    <t>Aftertreatment DEF</t>
  </si>
  <si>
    <t>Pressure low</t>
  </si>
  <si>
    <t>presion_def</t>
  </si>
  <si>
    <t>kPa</t>
  </si>
  <si>
    <t>794 AC; 797F Tier 4; 798 AC</t>
  </si>
  <si>
    <t>Refer to M0069788-02 "DEF Pressure is Low" - Check electrical connectors to DEF pump unit. - Inspect for DEF leaks in lines. - Run Dosing System Prime Test. Pump should maintain 116 psi. - Check for filter or suction line restrictions - Check backflow valve for proper operation.</t>
  </si>
  <si>
    <t>EQUIPMENT!8; ENGINE 798AC!11; EQUIPMENT 798AC!7</t>
  </si>
  <si>
    <t>SIN-056</t>
  </si>
  <si>
    <t>High frequency of events</t>
  </si>
  <si>
    <t>Fan motor drain filter saturation</t>
  </si>
  <si>
    <t>restriccion_filtro_ventilador</t>
  </si>
  <si>
    <t>Check if the condition is still present at the time of arrest. Perform electrical check of the state of the switch, connector and harness. If the condition is maintained, an inspection and filter cut must be carried out to see the level of particulate. Take a sample of oil to control trend Perform functional tests and testing of the FAN system (only if the condition warrants)</t>
  </si>
  <si>
    <t>EQUIPMENT!22</t>
  </si>
  <si>
    <t>SIN-057</t>
  </si>
  <si>
    <t>Engine Fan</t>
  </si>
  <si>
    <t>Overspeeds</t>
  </si>
  <si>
    <t>velocidad_ventilador</t>
  </si>
  <si>
    <t>desviacion</t>
  </si>
  <si>
    <t>rpm</t>
  </si>
  <si>
    <t>Refer to KENR8746 - Check fan pressures at different speeds. - Unplug fan solenoid and see if fan goes to full RPM. - Test high-pressure cutoffs</t>
  </si>
  <si>
    <t>ENGINE!7; ENGINE 798AC!6</t>
  </si>
  <si>
    <t>SIN-058</t>
  </si>
  <si>
    <t>Pressure Differential</t>
  </si>
  <si>
    <t>presion_aceite_diferencial</t>
  </si>
  <si>
    <t>Refer to M006978 - Check Oil Pressure Sensors. Ensure both sensors are at 0-2 psi with engine off. - Inspect wiring going to sensors. (If equipped with Self-Cleaning Oil Filter and Centrifugal Oil Filter) - Check motor for movement and free operation - Check COF for signs of blockage or contamination</t>
  </si>
  <si>
    <t>ENGINE!10; ENGINE 798AC!7</t>
  </si>
  <si>
    <t>SIN-059</t>
  </si>
  <si>
    <t>Fuel</t>
  </si>
  <si>
    <t>Restricted</t>
  </si>
  <si>
    <t>restriccion_filtro_combustible</t>
  </si>
  <si>
    <t>793F; 793F Tier 4; 794 AC; 797; 797B; 797F; 797F Tier 4</t>
  </si>
  <si>
    <t>Inspect harnesses and connectors at fuel filter base. Repair/replace as required. Replace fuel filters.</t>
  </si>
  <si>
    <t>SIN-060</t>
  </si>
  <si>
    <t>Fan Drive</t>
  </si>
  <si>
    <t>Filter plugged</t>
  </si>
  <si>
    <t>- Remove and inspect fan drive filter for contamination - Check filter bypass switch - Take oil sample steering system</t>
  </si>
  <si>
    <t>ENGINE!15; STEERING SYSTEM!9; HYDRAULIC SYSTEM!7; ENGINE 798AC!9; HYDRAULIC SYSTEM 798AC!6; STEERING SYSTEM 798AC!7</t>
  </si>
  <si>
    <t>SIN-061</t>
  </si>
  <si>
    <t>Intake Manifold</t>
  </si>
  <si>
    <t>Pressure high</t>
  </si>
  <si>
    <t>presion_admision</t>
  </si>
  <si>
    <t>Inspect engine harness Inspect intake manifold pressure sensors Inspect for plugged exhaust</t>
  </si>
  <si>
    <t>ENGINE!16</t>
  </si>
  <si>
    <t>SIN-062</t>
  </si>
  <si>
    <t>Check air cleaners. Check intake and exhaust system for leaks. Split hoses, loose clamps, failed bellows and hump hoses. Inspect for signs of oil leakage from piping, inspect turbochargers for damage to compressor/turbine wheels. Inspect aftercooler for cracks/leaks. Connect ET and check engine performance at the stall, possible multiple injector codes.</t>
  </si>
  <si>
    <t>ENGINE!27</t>
  </si>
  <si>
    <t>SIN-063</t>
  </si>
  <si>
    <t>Fuel/H2O Sep</t>
  </si>
  <si>
    <t>Level high</t>
  </si>
  <si>
    <t>agua_en_combustible</t>
  </si>
  <si>
    <t>Drain water from primary fuel filters. Check operation of sensor and harness condition. Connect ET and perform water in fuel tests. Replace filters and /or probe.Refer to KENR5398-24</t>
  </si>
  <si>
    <t>SIN-064</t>
  </si>
  <si>
    <t>Temp Differential</t>
  </si>
  <si>
    <t>temp_escape_diferencial</t>
  </si>
  <si>
    <t>793F; 797F; 797F Tier 4</t>
  </si>
  <si>
    <t>Connect ET and verify active condition. Check for exhaust and or boost leaks. Inspect exhaust temperature sensors and thermowells for proper installation. Run FSVT for injector health.</t>
  </si>
  <si>
    <t>SIN-065</t>
  </si>
  <si>
    <t>temp_aceite</t>
  </si>
  <si>
    <t>Verify the cooling system is full and water pumps/fan operation is good. Check engine oil level. Check the condition of engine oil bypass valve. Check engine oil cooler.</t>
  </si>
  <si>
    <t>SIN-066</t>
  </si>
  <si>
    <t>presion_aceite</t>
  </si>
  <si>
    <t>MFP-01; MFP-07</t>
  </si>
  <si>
    <t>Check engine oil level-Confirm oil pressure with a manual gauge to confirm sensor condition. -Replace and inspect engine oil filters - Confirm oil viscosity - Check for contamination (fuel/coolant) - Visually inspect the oil pump for signs of overheating-Take SOS sample.-Report findings</t>
  </si>
  <si>
    <t>ENGINE!37</t>
  </si>
  <si>
    <t>SIN-067</t>
  </si>
  <si>
    <t>Level low</t>
  </si>
  <si>
    <t>nivel_aceite</t>
  </si>
  <si>
    <t>Check engine oil level running and shutdown. Look for obvious leaks. If great difference noticed running vs static check for possible scavenge pump failure. Check engine oil filter for ferrous metal debris, inspect engine oil pump suction screen for metal debris.</t>
  </si>
  <si>
    <t>ENGINE!38</t>
  </si>
  <si>
    <t>SIN-068</t>
  </si>
  <si>
    <t>Crankcase</t>
  </si>
  <si>
    <t>presion_carter</t>
  </si>
  <si>
    <t>Verify correct engine oil level. Verify crankcase breathers not plugged. Check harness and sensor condition. Connect ET and verify sensor operation. Check atmospheric pressure sensor for reading correctly. If all OK, remove valve covers and check for valvetrain damage.</t>
  </si>
  <si>
    <t>ENGINE!41</t>
  </si>
  <si>
    <t>SIN-069</t>
  </si>
  <si>
    <t>Coolant</t>
  </si>
  <si>
    <t>Temperature Low</t>
  </si>
  <si>
    <t>temp_refrigerante</t>
  </si>
  <si>
    <t>Connect ET and verify associated codes. Check operation of E Stat. Verify harness and connections. Consider low ambient temperatures and light loads.Refer to KENR5398-24</t>
  </si>
  <si>
    <t>ENGINE!42</t>
  </si>
  <si>
    <t>SIN-070</t>
  </si>
  <si>
    <t>793F; 793F Tier 4; 794 AC; 797F; 797F Tier 4</t>
  </si>
  <si>
    <t>Check for proper coolant level. - Connect ET, verify high coolant temperature and E Stat operation. - Inspect radiator for damage and obvious leaks. - Verify coolant tank cap is well sealed. - Check for leaks and function of jacket water pump. - Verify proper operation of engine cooling fan. - Disconnect electrical to E Stat and confirm screw and valve not stuck. - Cycle key and confirm E Stat cycling, follow TCM troubleshooting in SiS.</t>
  </si>
  <si>
    <t>ENGINE!43</t>
  </si>
  <si>
    <t>SIN-071</t>
  </si>
  <si>
    <t>Air Filter</t>
  </si>
  <si>
    <t>restriccion_filtro_aire</t>
  </si>
  <si>
    <t>Inspect the plugged air filter Replace the primary and secondary air filter elements Check the condition of the pre cleaner venturis , check for plugging with dust/sand or ice If filters are found clean, confirm proper sensor operation and plug/harness condition Report your findings</t>
  </si>
  <si>
    <t>ENGINE!45</t>
  </si>
  <si>
    <t>SIN-072</t>
  </si>
  <si>
    <t>Thermostatic Valve Failure</t>
  </si>
  <si>
    <t>Low Coolant Temperature</t>
  </si>
  <si>
    <t>Verify TCM battery current supply fuse status Evaluate and normalize electrical codes associated with the coolant T ° sensor, electric motor and TCM Perform evaluation and maintenance of 12-pin TCM connector and data transmission lines Verify thermostatic V V operation, TCM and coolant temperature sensor. If necessary change components with failures. P/N TCM module 341-2377 P / N Motor kit 399-8135 P / N Temperature sensor 238-0112</t>
  </si>
  <si>
    <t>ENGINE!7</t>
  </si>
  <si>
    <t>SIN-073</t>
  </si>
  <si>
    <t>High Temp</t>
  </si>
  <si>
    <t>Exhaust Temperature equal to or greater than 700°C</t>
  </si>
  <si>
    <t>Perform evaluation of the electrical system, connectors, harness and sensor Evaluation of possible leaks, loose clamps or damage to the ataac system, bellows escape Check saturation of air filters Perform admission certification according to detected condition Check condition of the turbo (only if required) ) Check injector codes and VOT analysis Perform power tests to certify the proper functioning of pressures and temperatures.</t>
  </si>
  <si>
    <t>ENGINE!10</t>
  </si>
  <si>
    <t>SIN-074</t>
  </si>
  <si>
    <t>Exhaust Temperature equal to or less than 700°C</t>
  </si>
  <si>
    <t>Perform evaluation of the electrical system, connectors, harness and sensor Evaluation of possible leaks, loose clamps or damage to the ataac system, bellows escape Perform admission certification according to detected condition Check condition of the turbo (only if required) Check codes of injectors and VOT analysis Perform power tests to certify the proper functioning of pressures and temperatures.</t>
  </si>
  <si>
    <t>ENGINE!11</t>
  </si>
  <si>
    <t>El texto equal to or less than 700°C no sustenta inequívocamente temp_escape:aumento.</t>
  </si>
  <si>
    <t>SIN-075</t>
  </si>
  <si>
    <t>Overheated</t>
  </si>
  <si>
    <t>Low coolant pressure.</t>
  </si>
  <si>
    <t>presion_refrigerante</t>
  </si>
  <si>
    <t>Check the coolant levels and verify that there are no leaks in the system Check the branch line from the TK expansion to Bba and that there is no obstruction or leaks Evaluate electrical operation of the sensor, connector, harness and take operating pressures with low ET and high RPM Check engine operating temperature and, depending on the condition of this, continue evaluating the pump operation and / or some type of obstruction</t>
  </si>
  <si>
    <t>SIN-076</t>
  </si>
  <si>
    <t>Operational</t>
  </si>
  <si>
    <t>Pre Lube Cancellation</t>
  </si>
  <si>
    <t>The operator must keep the key in the starting position until the pre-lubrication cycle is completed correctly Avoid pre-lubrication cancellations, these bad practices can cause accelerated engine wear Perform re-operation instruction to avoid this type of event</t>
  </si>
  <si>
    <t>SIN-077</t>
  </si>
  <si>
    <t>Over Temperature</t>
  </si>
  <si>
    <t>Low Fan Speed</t>
  </si>
  <si>
    <t>Use the "Override parameters" diagnostic test in Cat ET to set the "Motor fan cooling speed override" desired. If event E1363 does not restart, check the motor fan speed sensor circuit (CID 544) or the engine cooling fan solenoid (CID 291). If the speed sensor and solenoid circuit are correct, verify that there is no fault in the fan system. Reference: To adjust the fan rpm, see Tests and adjustments, KENR8746, "Piston pump pressure (hydraulic fan) - Test and adjust" To calibrate, see Test and adjustment, KENR8746, "Fan - Calibrate".</t>
  </si>
  <si>
    <t>ENGINE!24</t>
  </si>
  <si>
    <t>SIN-078</t>
  </si>
  <si>
    <t>High Event Frequency</t>
  </si>
  <si>
    <t>Fan Motor Drain Filter Plugged</t>
  </si>
  <si>
    <t>ENGINE!25</t>
  </si>
  <si>
    <t>SIN-079</t>
  </si>
  <si>
    <t>Intake IMAT High Temperature</t>
  </si>
  <si>
    <t>temp_admision</t>
  </si>
  <si>
    <t>Evaluate ATAAC system that is not obstructed and perform cleaning if the condition requires it Perform electrical evaluation of the sensor, harness and connector Evaluate the correct functioning of the multiple temperature sensor (IMAT) Check that the "FAN" temperature dissipation system is find working in a good way and that others</t>
  </si>
  <si>
    <t>ENGINE!26</t>
  </si>
  <si>
    <t>SIN-080</t>
  </si>
  <si>
    <t>Pressure</t>
  </si>
  <si>
    <t>Low Engine Oil Pressure</t>
  </si>
  <si>
    <t>Check if there are electrical codes associated with the lubrication system (with engine stopped check sensor readings P°) Check oil level for possible low level for leaks or over level for fuel transfer (give solution according to condition) Take lubrication pressures of gauge vs digital and compare Evaluate the condition of the regulating valve or relief valve If the condition is maintained, an evaluation of the BBA Oil should be carried out, dismantling the suction duct for inspection If the condition and hours of the oil must be changed of oil and filter</t>
  </si>
  <si>
    <t>SIN-081</t>
  </si>
  <si>
    <t>Presence of undetermined particulate.</t>
  </si>
  <si>
    <t>Fuel Filter Plugged</t>
  </si>
  <si>
    <t>Perform electrical evaluation of connectors, harnesses, sensors. If condition is maintained, fuel filter must be changed. Perform filter cut and evaluate type of contamination.</t>
  </si>
  <si>
    <t>ENGINE!28</t>
  </si>
  <si>
    <t>SIN-082</t>
  </si>
  <si>
    <t>Coolant Leaking</t>
  </si>
  <si>
    <t>Low Level Coolant</t>
  </si>
  <si>
    <t>nivel_refrigerante</t>
  </si>
  <si>
    <t>MFP-03; MFP-06</t>
  </si>
  <si>
    <t>Check level and if there is a low level look for the cause and eliminate Perform electrical inspection of connectors, harness and measure level sensor voltage (8.0 +/- 0.4 VDC) In case of continuing electrical problem the circuit should be checked in general according to search of medium M0075101</t>
  </si>
  <si>
    <t>SIN-083</t>
  </si>
  <si>
    <t>Air Filter Restriction</t>
  </si>
  <si>
    <t>Air Filters Plugged</t>
  </si>
  <si>
    <t>Check air filters and replace if necessary. If the condition is maintained, evaluation of the electrical system sensors, harnesses and connectors (sensor P ° input and atmospheric) must be performed. Perform patch test and according to condition admission certification must be performed. Take new sample for trend control</t>
  </si>
  <si>
    <t>SIN-084</t>
  </si>
  <si>
    <t>Exhaust Temperature Increasing</t>
  </si>
  <si>
    <t>SIN-085</t>
  </si>
  <si>
    <t>Oil Leaking</t>
  </si>
  <si>
    <t>Low Oil Level</t>
  </si>
  <si>
    <t>Check oil level by sight glass and check for external oil leaks. Check sensor and supply voltage of the oil level sensor. If no leaks and sensor are found in good condition, it must be filled in the case that requires it and commissioned to check if there is excess blue smoke due to the exhaust Check if there is oil transfer by crankshaft seal to the converter (see results of SOS TC for possible dark hue)</t>
  </si>
  <si>
    <t>SIN-086</t>
  </si>
  <si>
    <t>Inspect the pressure regulating valve and perform cleaning or replacement if necessary. I evaluated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If it is maintained above 40 ° C, it must be confirmed if the increase corresponds to the output T ° of the HPFP pump. Complement evaluation with inspection of high HPFP magnetic pump caps and determine a possible change of high HPFP pump according to results.</t>
  </si>
  <si>
    <t>REVISAR POSIBLE DUPLICADO</t>
  </si>
  <si>
    <t>Comparar con SIN-095; ambos describen alta temperatura de combustible con planes similares.</t>
  </si>
  <si>
    <t>SIN-087</t>
  </si>
  <si>
    <t>Low Booster Pressure</t>
  </si>
  <si>
    <t>Check condition and saturation of the air filters, evaluate change them Verify condition and operation of sensors filters and harness of the air filters Certify complete admission system by checking the condition of the attack, elbows, ducts, rubber and broken or loose clamps Post evaluation carried out verify IMAP turbo pressure - IMAT.</t>
  </si>
  <si>
    <t>SIN-088</t>
  </si>
  <si>
    <t>Coolant Low Temperature</t>
  </si>
  <si>
    <t>Perform diagnostic code verification at the time of the evaluation Solution to the registered codes associated with the T° sensor, electric thermostatic v/v motor and TCM must be verified Verify thermostatic v/v operation Check the working T° and good operation of the FAN</t>
  </si>
  <si>
    <t>ENGINE!46</t>
  </si>
  <si>
    <t>SIN-089</t>
  </si>
  <si>
    <t>Fuel Low Pressure</t>
  </si>
  <si>
    <t>presion_combustible</t>
  </si>
  <si>
    <t>Perform evaluation of diagnostic codes and event codes. Evaluate the fuel pressure sensors. Take pressure gauges Check the fuel pressure regulating valve. Check electrical connections of Fuel priming pump. Check transfer pump status.</t>
  </si>
  <si>
    <t>ENGINE!47</t>
  </si>
  <si>
    <t>SIN-090</t>
  </si>
  <si>
    <t>Fuel High Pressure</t>
  </si>
  <si>
    <t>Perform evaluation with ET tool to verify and eliminate the codes present Verify status of P° sensor of the pump, harness and connectors Check status of the fuel regulating valve Check pressures and temperature of transfer pump and fuel system</t>
  </si>
  <si>
    <t>ENGINE!48</t>
  </si>
  <si>
    <t>SIN-091</t>
  </si>
  <si>
    <t>Contamination by Water</t>
  </si>
  <si>
    <t>High water level in Fuel Separator.</t>
  </si>
  <si>
    <t>Drain water from the fuel tank and water separator filter Change fuel filters Perform regular maintenance Check condition and operation of sensor, connector and harness</t>
  </si>
  <si>
    <t>ENGINE!50</t>
  </si>
  <si>
    <t>SIN-092</t>
  </si>
  <si>
    <t>Wearing</t>
  </si>
  <si>
    <t>Engine Oil Filter Saturation</t>
  </si>
  <si>
    <t>restriccion_filtro_aceite</t>
  </si>
  <si>
    <t>Check if at the time of the evaluation there are diagnostic codes associated with the inlet and outlet pressure sensors of the filter "Using the ET diagnostic tool, the operation of the filter pressure sensors that should only indicate the atmospheric pressure of otherwise, the corresponding ones must be replaced - Unfiltered oil pressure (Absolute) - Engine oil pressure (Absolute) If the problem persists, evaluation of the engine oil filter (particulate saturation or emulsified oil) should be carried out. condition is real oil change, oil filters and evaluate the root cause of the problem must be carried out Rescue contaminated filters and send monitoring conditions for analysis with other contaminant control routines According to the results obtained define a possible new action plan</t>
  </si>
  <si>
    <t>ENGINE!52</t>
  </si>
  <si>
    <t>SIN-093</t>
  </si>
  <si>
    <t>Crankcase High Pressure</t>
  </si>
  <si>
    <t>The code must be evaluated with ET at the time of your arrest. Inspect the electrical system, sensor, harness and connector. Check the engine oil level, the over level also alters the crankcase pressure. Check condition of motor vents that are not obstructed. Check SOS trends</t>
  </si>
  <si>
    <t>ENGINE!54</t>
  </si>
  <si>
    <t>Corregir Crankcrase por Crankcase</t>
  </si>
  <si>
    <t>Se conserva presion_carter:aumento como variable canónica.</t>
  </si>
  <si>
    <t>SIN-094</t>
  </si>
  <si>
    <t>FCV Operating Outside Range</t>
  </si>
  <si>
    <t>Inspect for possible leaks by high pressure pipes and quill tube. Perform a new evaluation with ET diagnostic tool at the time of your arrest to check the registered codes. Evaluate the connector, valves and harness according to the IMF. Perform system tests using ET in parameter status to check the proper functioning of the accelerator and the percentage of the FCV. a.- Low empty engine the FCV must be 10-15%. b.- High vacuum engine the FCV must be 20-25%. c.- Full load engine the FCV must be 40-50%.</t>
  </si>
  <si>
    <t>ENGINE!57</t>
  </si>
  <si>
    <t>Corregir Outisde y normalizar descripción</t>
  </si>
  <si>
    <t>Se conserva la variable presion_combustible:desviacion.</t>
  </si>
  <si>
    <t>SIN-095</t>
  </si>
  <si>
    <t>ENGINE!58</t>
  </si>
  <si>
    <t>Comparar con SIN-086; conservar sólo si aporta origen o plan de acción diferente.</t>
  </si>
  <si>
    <t>SIN-096</t>
  </si>
  <si>
    <t>Fuel Presence</t>
  </si>
  <si>
    <t>Take an oil sample and check if there is any intervention prior to the results of the sample. Perform field tests such as, check of possible oil level above level and viscometer test. Perform cylinder cut to identify injectors with problems. Perform solenoid inspection. of fuel leakage injectors (use revealing liquid if necessary) To take advantage of having the UF uncovered, prezurization (100 lb / in) per fuel return line must be performed and see if there are air leaks Check fuel pump transfer.</t>
  </si>
  <si>
    <t>ENGINE!64</t>
  </si>
  <si>
    <t>SIN-097</t>
  </si>
  <si>
    <t>Exhaust Temperature</t>
  </si>
  <si>
    <t>IMAP Low Value</t>
  </si>
  <si>
    <t>Verify electrical codes at the time of their arrest Normalize the electrical system if required, harness, connectors and sensor Perform inspection of air filters for possible saturation Perform inspection of the intake ducts, ATAAC system and bellow Perform power test to check the proper functioning</t>
  </si>
  <si>
    <t>ENGINE!65</t>
  </si>
  <si>
    <t>SIN-098</t>
  </si>
  <si>
    <t>Oil Temperature</t>
  </si>
  <si>
    <t>High Oil Temperature</t>
  </si>
  <si>
    <t>Check for possible leaks in the coolant system and inspect the radiator panel for possible obstruction. TCM problem "control module" or Thermostat locked for failure in electric motor or mechanical failure Expansion tank valve does not operate or opens by compression in system Cooling failure of engine oil Check the correct operation of fan</t>
  </si>
  <si>
    <t>ENGINE!66</t>
  </si>
  <si>
    <t>SIN-099</t>
  </si>
  <si>
    <t>Coolant Temperature</t>
  </si>
  <si>
    <t>High Coolant Temperature Values</t>
  </si>
  <si>
    <t>Check for possible leaks in the coolant system and inspect the radiator panel for possible obstruction. TCM problem "control module" or Thermostat locked for failure in electric motor or mechanical failure Expansion tank valve does not operate or opens by compression in system Verify proper operation of fan</t>
  </si>
  <si>
    <t>ENGINE!67</t>
  </si>
  <si>
    <t>SIN-100</t>
  </si>
  <si>
    <t>Increase Exhaust Temperature</t>
  </si>
  <si>
    <t>Perform evaluation of the electrical system, connectors, harness and sensor Evaluation of possible leaks, loose clamps or damage to the ataac system, bellows escape Perform admission certification according to detected condition Check nozzle codes and VOT analysis Perform power tests to certify proper operation of pressures and temperatures.</t>
  </si>
  <si>
    <t>ENGINE!70</t>
  </si>
  <si>
    <t>SIN-101</t>
  </si>
  <si>
    <t>Oil Contaminated</t>
  </si>
  <si>
    <t>Low oil pressure of 10 PSI</t>
  </si>
  <si>
    <t>Equipment presents low pressure lubrication at high and low rpm of 10 psi approx. Take lubrication pressures manometrically before performing any intervention. Perform status assessment of regulating valve or relief valve (check for possible contamination and perform cleaning) Internal TIB –2015008 If necessary according to evaluation make the change of regulating valve, single or dual. • Single P/N: 379-2945 • Dual P/N: 327-0818 and 327-0817 Inspect wear on filters, grilles and patch test Take new oil sample and evaluate its viscosity for possible presence of fuel Take lubrication pressures post intervention</t>
  </si>
  <si>
    <t>ENGINE!71</t>
  </si>
  <si>
    <t>SIN-102</t>
  </si>
  <si>
    <t>Connect ET and check for related codes. Inspect fuel lines for damage or restriction. Check fuel pressure regulator for debris or stuck valving, replace if necessary. Check fuel transfer pump relief valve. Verify harness and connector condition. Confirm filter condition.(Replace as necessary.) Confirm harness properly connected. (Not reversed.)</t>
  </si>
  <si>
    <t>ENGINE 798AC!16</t>
  </si>
  <si>
    <t>SIN-103</t>
  </si>
  <si>
    <t>VIMS, VisionLink</t>
  </si>
  <si>
    <t>Event E232 High Fuel/Water Separator Level - Service water separator asap to avoid water being drawn into fuel system past the filter. - Ensure water separator is being checked and drained daily - If no water is found in separator, troubleshoot sensor and or wiring</t>
  </si>
  <si>
    <t>SIN-104</t>
  </si>
  <si>
    <t>794 AC; 797; 797B; 797F; 797F Tier 4</t>
  </si>
  <si>
    <t>Check ET for codes - Check for air filter restrictions - Check for restriction in exhaust system - heck for insufficient air flow through aftercooler - Check for boost leaks - Check cooling system condition.</t>
  </si>
  <si>
    <t>SIN-105</t>
  </si>
  <si>
    <t>Check coolant sight glass to confirm levels are low. Top up if necessary. - Visually inspect the cooling system for leaks. - Pressure check system if required. Check sight glass after 12 hours of operation to see if coolant is being consumed.</t>
  </si>
  <si>
    <t>SIN-106</t>
  </si>
  <si>
    <t>Visual Inspection</t>
  </si>
  <si>
    <t>Desalineamiento</t>
  </si>
  <si>
    <t>Element distorted or badly positioned</t>
  </si>
  <si>
    <t>Disassemble element, inspect for possible damage and reinstall correctly or replace element. Inspect surrounding or related items for similar faults.</t>
  </si>
  <si>
    <t>SIN-107</t>
  </si>
  <si>
    <t>Crankcase oil leaks</t>
  </si>
  <si>
    <t>fuga_aceite</t>
  </si>
  <si>
    <t>evento</t>
  </si>
  <si>
    <t>Inspect crankcase bolt looseness Inspect oil level Check engine oil pressure. Check larger particulate (filter cut and magnetic grid Insp.)</t>
  </si>
  <si>
    <t>SIN-108</t>
  </si>
  <si>
    <t>particulado</t>
  </si>
  <si>
    <t>Particulate</t>
  </si>
  <si>
    <t>Screen with metallic particle</t>
  </si>
  <si>
    <t>presencia</t>
  </si>
  <si>
    <t>Perform visual inspection to sweeping pump assembly. Back up photographically condition. Check condition of crankshaft drive gear. Back up photographically. If the gear shows major damage it is not recommended to reuse. Evaluate the change of the major component. Evaluate and support settlement surface status of sweeping pump. If the surface damage is greater, it is required to send backups to CT to validate. Perform oil filter cut and verify% of contamination present. If the oil filters show a large amount of contamination, it is necessary to evaluate the main oil pump, since this can present greater wear and consequently a low efficiency. Support condition. After repairs, it is recommended to keep the component under monitoring. Check grid condition of sweeping pump. Perform cleaning and save photographic backups. The following documents are required to remove and install the sweeping pump. In addition to taking into account the correct cleaning of the areas and condition of threads.</t>
  </si>
  <si>
    <t>Cambiar dirección de aumento a presencia</t>
  </si>
  <si>
    <t>Screen with metallic particle expresa presencia, no un nivel cuantificado.</t>
  </si>
  <si>
    <t>SIN-109</t>
  </si>
  <si>
    <t>Filter cut with Particulate Level 3</t>
  </si>
  <si>
    <t>Supplement with patch test Check screens and their condition to check for wear of metal fragments. Take lubrication pressures manometrically in Low, High and Stall RPM Complement analysis with a history of pressure trends, arrests, event control and component hours.</t>
  </si>
  <si>
    <t>SIN-110</t>
  </si>
  <si>
    <t>Filter cut with Particulate Level 2</t>
  </si>
  <si>
    <t>Check engine grilles Manually measure lubrication pressures at Low, High and RPM Stall Verify component hours and pre-sampling intervention Take new oil sample for monitoring</t>
  </si>
  <si>
    <t>SIN-111</t>
  </si>
  <si>
    <t>Patch test with particulate presence</t>
  </si>
  <si>
    <t>Complement analysis with events and pressure trends Perform complement with filter cut Take lubrication pressures Take new oil sample</t>
  </si>
  <si>
    <t>ENGINE!53</t>
  </si>
  <si>
    <t>Patch test with particulate presence expresa presencia, no un nivel cuantificado.</t>
  </si>
  <si>
    <t>SIN-112</t>
  </si>
  <si>
    <t>Contamination by Dust</t>
  </si>
  <si>
    <t>Patch test with presence of Silica (Si)</t>
  </si>
  <si>
    <t>Check condition with a new sample to discard a poorly taken sample Perform inspection and possible entry of silicon through pipelines, rubbers, loose clamps Perform admission system certification according to detected condition Perform power test and verify booster pressures</t>
  </si>
  <si>
    <t>ENGINE!60</t>
  </si>
  <si>
    <t>REVISAR VARIABLE Y UNIDAD</t>
  </si>
  <si>
    <t>Patch test con presencia de sílice puede requerir variable silica_particulado:presencia y unidad evento, no si_ppm.</t>
  </si>
  <si>
    <t>SIN-113</t>
  </si>
  <si>
    <t>Patch test with Soot (St) presence</t>
  </si>
  <si>
    <t>hollin</t>
  </si>
  <si>
    <t>%</t>
  </si>
  <si>
    <t>Inspect the air filter restriction, Check leaks in the fuel system, Perform admission certification, perform oil and filter changes.</t>
  </si>
  <si>
    <t>ENGINE!68</t>
  </si>
  <si>
    <t>SIN-008</t>
  </si>
  <si>
    <t>Sodium (Na) High Values</t>
  </si>
  <si>
    <t>Check oil levels Check reinforcement work pressures</t>
  </si>
  <si>
    <t>N</t>
  </si>
  <si>
    <t>ELIMINAR</t>
  </si>
  <si>
    <t>Inconsistencia entre modo de origen y síntoma; cubierto por SIN-003 y SIN-009.</t>
  </si>
  <si>
    <t>SIN-012</t>
  </si>
  <si>
    <t>High levels of wear</t>
  </si>
  <si>
    <t>Verify the accuracy of service to determine the action plan (do not consider engines with oil hours extension) Verify if there is a previous chiller change or an engine change, this condition is considered normal (leaching process) Complement routine analysis Particulate as appropriate (filters, grilles and patch test) Depending on the engine hours, check and subsequent regulation of motor valves should only be carried out if they are out of range. Take lubrication pressures of pressure and operating temperature. new sample for trend control</t>
  </si>
  <si>
    <t>Registro genérico sin variable, dirección ni unidad.</t>
  </si>
  <si>
    <t>SIN-014</t>
  </si>
  <si>
    <t>Check possible filling with lower viscosity oil Check oil level and investigate for possible transfer Check particulate in magnetic plug, filters and oil draining process Check lubrication pressures Consider changing oil and keep on constant monitoring</t>
  </si>
  <si>
    <t>ENGINE!49</t>
  </si>
  <si>
    <t>Contradicción entre contaminación por agua y contaminación por polvo.</t>
  </si>
  <si>
    <t>SIN-016</t>
  </si>
  <si>
    <t>Sodim (Na) and Cupper (Cu) High Values</t>
  </si>
  <si>
    <t>na_ppm; cu_ppm</t>
  </si>
  <si>
    <t>Field tests such as hot plate must be carried out to determine contamination of the refrigerant to the lubrication system. Inspect oil level, engine vent for condensation. Check leaks by refrigerant pump acknowledgment. Evaluate engine oil cooler. After the repair, oil and filter changes must be made. Take lubrication and temperature pressures. Schedule a new sample for the next 50 hours to monitor trends</t>
  </si>
  <si>
    <t>ENGINE!55</t>
  </si>
  <si>
    <t>Mezcla Na y Cu y mecanismos diferentes; cubierto por síntomas específicos.</t>
  </si>
  <si>
    <t>SIN-018</t>
  </si>
  <si>
    <t>Iron (Fe) High Values</t>
  </si>
  <si>
    <t>Analyze particulate in filters, patch test and grilles Inspect sweeping pump sprocket by sight glass cover for possible wear or pump looseness Take lubrication pressures Evaluate a check and regulate valves only if the condition and hours of the engine so Amerita Take new oil sample for monitoring</t>
  </si>
  <si>
    <t>ENGINE!61</t>
  </si>
  <si>
    <t>Duplica hierro elevado sin aportar mayor especificidad.</t>
  </si>
  <si>
    <t>Subunidad</t>
  </si>
  <si>
    <t>Código SMCS</t>
  </si>
  <si>
    <t>SMCS en matriz</t>
  </si>
  <si>
    <t>Falla funcional</t>
  </si>
  <si>
    <t>Modo de falla</t>
  </si>
  <si>
    <t>Efecto</t>
  </si>
  <si>
    <t>Evidente</t>
  </si>
  <si>
    <t>Consecuencia</t>
  </si>
  <si>
    <t>Severidad sugerida</t>
  </si>
  <si>
    <t>Regla</t>
  </si>
  <si>
    <t>Tipo tarea</t>
  </si>
  <si>
    <t>Tarea</t>
  </si>
  <si>
    <t>Intervalo (h)</t>
  </si>
  <si>
    <t>RCM-001</t>
  </si>
  <si>
    <t>MOTOR DIESEL PRINCIPAL 1000 - ENGINE</t>
  </si>
  <si>
    <t>MOTOR: Engine / Diesel Engine</t>
  </si>
  <si>
    <t>INCAPACIDAD TOTAL DE PROPORCIONAR POTENCIA</t>
  </si>
  <si>
    <t>FALLA EN EL ARRANQUE POR CABLE GND DE MOTORES DE ARRANQUE EN CORTOCIRCUITO</t>
  </si>
  <si>
    <t>EL EQUIPO NO ENCIENDE Y FALLA NO ES EVIDENTE</t>
  </si>
  <si>
    <t>-</t>
  </si>
  <si>
    <t>falla oculta (riesgo de falla múltiple)</t>
  </si>
  <si>
    <t>OT</t>
  </si>
  <si>
    <t>INSPECCION VISUAL MOTOR (PAUTA MANTENIMIENTO) BUSQUEDA DE FALLA</t>
  </si>
  <si>
    <t>FMECA!3</t>
  </si>
  <si>
    <t>DESGASTE POR VIDA UTIL</t>
  </si>
  <si>
    <t>EL EQUIPO NO ENCIENDE Y FALLA ES EVIDENTE</t>
  </si>
  <si>
    <t>O</t>
  </si>
  <si>
    <t>consecuencia operacional</t>
  </si>
  <si>
    <t>SC</t>
  </si>
  <si>
    <t>REEEMPLAZO DE MOTOR (VIDA SE DEBE AJUSTAR DE ACUERDO A FACTOR DE CARGA Y POTENCIA)</t>
  </si>
  <si>
    <t>FMECA!4</t>
  </si>
  <si>
    <t>RCM-003</t>
  </si>
  <si>
    <t>INCAPACIDAD PARCIAL DE PROPORCIONAR UNA POTENCIA DE HASTA 4000 HP A 1800 RPM</t>
  </si>
  <si>
    <t>RESTRICCION DE FLUJO DE COMBUSTIBLE EN TUBERIAS</t>
  </si>
  <si>
    <t>PÉRDIDA DE POTENCIA DE VEHÍCULO POR BAJA PRESION Y FALLA PODRIA SER EVIDENTE POR SENSORES DE NIVEL DE COMBUSTIBLE Y PRESION</t>
  </si>
  <si>
    <t>INSPECCION VISUAL DE TUBERIAS Y CAMBIO DE FILTROS PRIMARIOS O SECUNDARIOS (PAUTA MANTENIMIENTO) CONSIDERAR POSIBLE CONTAMINACION EN TANQUE DE COMBUSTIBLE</t>
  </si>
  <si>
    <t>FMECA!5</t>
  </si>
  <si>
    <t>RCM-004</t>
  </si>
  <si>
    <t>PERFORACION DE FILTRO PRIMARIO DE COMBUSTIBLE</t>
  </si>
  <si>
    <t>CONTAMINACION DEL COMBUSTIBLE POR FALLA EN FILTRO Y PERDIDA DE POTENCIA FALLA NO EVIDENTE</t>
  </si>
  <si>
    <t>INSPECCION VISUAL BUSQUEDA DE FALLA</t>
  </si>
  <si>
    <t>FMECA!6</t>
  </si>
  <si>
    <t>RCM-005</t>
  </si>
  <si>
    <t>RESTRICCION DE COMBUSTIBLE POR FALTA DE CONEXIÓN EN LINEA DE VENTEO</t>
  </si>
  <si>
    <t>NO PERMITE ABASTECER COMBUSTIBLE Y PERDIDA DE POTENCIA FALLA NO EVIDENTE</t>
  </si>
  <si>
    <t>FMECA!7</t>
  </si>
  <si>
    <t>RCM-006</t>
  </si>
  <si>
    <t>RESTRICCION DE FILTRO DE COMBUSTIBLE POR INESTABILIDAD DE SENSOR DE NIVEL COMBUSTIBLE</t>
  </si>
  <si>
    <t>FALLA EVIDENTE POR ACTIVACION INTERMITENTE DE SENSOR (ERROR)</t>
  </si>
  <si>
    <t>baja</t>
  </si>
  <si>
    <t>evidente sin consecuencia operacional</t>
  </si>
  <si>
    <t>NO REALIZAR MANTENIMIENTO PROGRAMADO Y REDISEÑO DE SENSOR DESEABLE DEBIDO A ERROR DE SENSOR</t>
  </si>
  <si>
    <t>FMECA!8</t>
  </si>
  <si>
    <t>RCM-007</t>
  </si>
  <si>
    <t>FALLA EN ARNES DE SENSOR DE PRESION POR CORTE</t>
  </si>
  <si>
    <t>INESTABILIDAD DE LECTURA DE PRESION DE COMBUSTIBLE FALLA EVIDENTE</t>
  </si>
  <si>
    <t>FMECA!9</t>
  </si>
  <si>
    <t>RCM-008</t>
  </si>
  <si>
    <t>BAJO NIVEL DE ACEITE</t>
  </si>
  <si>
    <t>PÉRDIDA DE POTENCIA DE VEHÍCULO POR BAJO NIVEL DE ACEITE Y SOBRECALENTAMIENTO FALLA ES EVIDENTE POR SENSOR DE NIVEL DE ACEITE</t>
  </si>
  <si>
    <t>CHEQUEO NIVEL DE ACEITE Y/O CAMBIO DE ACEITE (471 LITROS)</t>
  </si>
  <si>
    <t>FMECA!10</t>
  </si>
  <si>
    <t>RCM-009</t>
  </si>
  <si>
    <t>SATURACION O TAPONAMIENTO DE FILTRO CENTRIFUGO (PAPEL)</t>
  </si>
  <si>
    <t>PÉRDIDA DE POTENCIA DE VEHÍCULO Y FALLA NO EVIDENTE</t>
  </si>
  <si>
    <t>CHEQUEO Y CAMBIO DE FILTRO CENTRÍFUGO (PAUTA MANTENIMIENTO)</t>
  </si>
  <si>
    <t>FMECA!11</t>
  </si>
  <si>
    <t>RCM-010</t>
  </si>
  <si>
    <t>SATURACION DE FILTROS DE COMBUSTIBLE</t>
  </si>
  <si>
    <t>PÉRDIDA DE POTENCIA DE VEHÍCULO POR BAJA PRESION DE COMBUSTIBLE Y FALLA NO ES EVIDENTE</t>
  </si>
  <si>
    <t>INSPECCION VISUAL Y CAMBIO DE FILTROS PRIMARIOS O SECUNDARIOS (PAUTA MANTENIMIENTO)</t>
  </si>
  <si>
    <t>FMECA!12</t>
  </si>
  <si>
    <t>RCM-011</t>
  </si>
  <si>
    <t>FUGAS DE ACEITE EN CIGÜEÑAL</t>
  </si>
  <si>
    <t>PÉRDIDA DE POTENCIA DE VEHÍCULO POR BAJO NIVEL DE ACEITE Y PRESION Y FALLA ES EVIDENTE POR DERRAMAMIENTO DE ACEITE EN COMPONENTES</t>
  </si>
  <si>
    <t>E</t>
  </si>
  <si>
    <t>consecuencia de seguridad o medio ambiente</t>
  </si>
  <si>
    <t>FMECA!13</t>
  </si>
  <si>
    <t>RCM-012</t>
  </si>
  <si>
    <t>DESAJUSTE O SOLTURA DE PERNO DE RETENEDOR DE ACEITE 41-5789 RETEINER-PIN</t>
  </si>
  <si>
    <t>DESPLAZAMIENTO DE PASADOR FALLA NO ES EVIDENTE</t>
  </si>
  <si>
    <t>INSPECCION VISUAL BUSQUEDA DE FALLAS (AJUSTE Y CONEXIONES O POSIBLES FUGAS Y DESPLAZAMIENTOS)</t>
  </si>
  <si>
    <t>FMECA!14</t>
  </si>
  <si>
    <t>RCM-013</t>
  </si>
  <si>
    <t>SATURACION FILTRO AUTOLIMPIEZA</t>
  </si>
  <si>
    <t>CONTAMINACION DEL FLUJO Y AUMENTO DE PRESION FALLA NO EVIDENTE</t>
  </si>
  <si>
    <t>SCF FILTRO AUTOLIMPIEZA CAMBIO (CHEQUEO DE FUNCIONAMIENTO GIRO MOTOR)</t>
  </si>
  <si>
    <t>FMECA!15</t>
  </si>
  <si>
    <t>RCM-014</t>
  </si>
  <si>
    <t>EXCESO DE RANGO DE SENSOR DE PRESION DE RIEL DE COMBUSTIBLE</t>
  </si>
  <si>
    <t>PERDIDA DE CONTROL DE PRESION DE COMBUSTIBLE Y POTENCIA FALLA EVIDENTE</t>
  </si>
  <si>
    <t>FMECA!16</t>
  </si>
  <si>
    <t>RCM-015</t>
  </si>
  <si>
    <t>ADIMISION Y ESCAPE (1050-AIR INDUCTION &amp; EXH SYS )</t>
  </si>
  <si>
    <t>1050</t>
  </si>
  <si>
    <t>MOTOR: Sistema de entrega y dosificación de combustible</t>
  </si>
  <si>
    <t>NO PERMITE LA ENTRADA DE AIRE A PRESION Y TEMPERATURA ADECUADA</t>
  </si>
  <si>
    <t>RESTRICCION DE FLUJO DE AIRE POR CONTAMINACION</t>
  </si>
  <si>
    <t>DIFERENCIA DE TEMPERATURA Y DEFICIENCIA EN COMBUSTION Y FALLA NO EVIDENTE</t>
  </si>
  <si>
    <t>INSPECCION VISUAL (BUSQUEDA DE FALLA) DE FILTROS DE AIRE</t>
  </si>
  <si>
    <t>FMECA!17</t>
  </si>
  <si>
    <t>RCM-016</t>
  </si>
  <si>
    <t>MAL ARMADO DE ESCAPE POR FALTA EXTENSION DE ESCAPE</t>
  </si>
  <si>
    <t>DIFERENCIA DE TEMPERATURA Y FALLA EVIDENTE POR INSPECCION</t>
  </si>
  <si>
    <t>INSPECCION VISUAL (BUSQUEDA DE FALLA) DE ARMADO DE ESCAPES</t>
  </si>
  <si>
    <t>FMECA!18</t>
  </si>
  <si>
    <t>RCM-017</t>
  </si>
  <si>
    <t>FALLA EVIDENTE</t>
  </si>
  <si>
    <t>REVISAR CONDICION Y CAMBIAR DE ACUERDO A INSPECCION (DUCTOS ADMISION Y ESCAPE)</t>
  </si>
  <si>
    <t>FMECA!19</t>
  </si>
  <si>
    <t>RCM-018</t>
  </si>
  <si>
    <t>MAL ARMADO DE ESCAPE Y SILENCIADOR</t>
  </si>
  <si>
    <t>FALLA DE PROPULSION Y FALLA NO EVIDENTE POR MODO DE FALLA POR SI SOLO</t>
  </si>
  <si>
    <t>INSPECCION VISUAL (BUSQUEDA DE FALLA) DE SISTEMA EFR POR FALLAS ANTERIOR ASOCIADAS A LAS CONEXIONES</t>
  </si>
  <si>
    <t>FMECA!20</t>
  </si>
  <si>
    <t>RCM-019</t>
  </si>
  <si>
    <t>TURBOCARGADOR (1052-TURBOCHARGER)</t>
  </si>
  <si>
    <t>1052</t>
  </si>
  <si>
    <t>MOTOR: Turboalimentador</t>
  </si>
  <si>
    <t>NO SUMINISTRA AIRE A PRESION O TEMPERATURA ADECUADA</t>
  </si>
  <si>
    <t>DESGASTE POR VIDA ÚTIL</t>
  </si>
  <si>
    <t>BAJO NIVEL DE PRESION DE AIRE DE ENTRADA DE ADMISION DEFICIENCIA DE COMBUTION FALLA EVIDENTE</t>
  </si>
  <si>
    <t>REEMPLAZO DE TURBOCARGADOR</t>
  </si>
  <si>
    <t>FMECA!21</t>
  </si>
  <si>
    <t>RCM-020</t>
  </si>
  <si>
    <t>FILTRO DE AIRE PRIMARIO (1054-AIR FILTER ELEMENT PRIMARIO)</t>
  </si>
  <si>
    <t>1054</t>
  </si>
  <si>
    <t>MOTOR: Filtro de aire secundario</t>
  </si>
  <si>
    <t>INCAPACIDAD PARA RETENER CONTAMINACION U AGENTES EXTERNOS</t>
  </si>
  <si>
    <t>SATURACION O TAPONAMIENTO</t>
  </si>
  <si>
    <t>BAJA EFICIENCIA DE COMBUSTION Y PERDIDA DE POTENCIA Y FALLA NO EVIDENTE</t>
  </si>
  <si>
    <t>INSPECCION VISUAL PRE PM Y CAMBIO DE FILTROS PRIMARIOS (PAUTA MANTENIMIENTO POR CONDICION MINA)</t>
  </si>
  <si>
    <t>FMECA!22</t>
  </si>
  <si>
    <t>RCM-021</t>
  </si>
  <si>
    <t>DESVIACION DE PARAMETROS DE SENSOR DE PRESION DE ENTRADA AIRE DE COMPRESOR 1</t>
  </si>
  <si>
    <t>CHEQUEO SENSOR DE PRESION DE ENTRADA AIRE COMPRESOR 1</t>
  </si>
  <si>
    <t>FMECA!23</t>
  </si>
  <si>
    <t>RCM-022</t>
  </si>
  <si>
    <t>DESVIACION DE PARAMETROS DE SENSOR DE PRESION DE ENTRADA AIRE DE COMPRESOR 2</t>
  </si>
  <si>
    <t>CHEQUEO SENSOR DE PRESION DE ENTRADA AIRE COMPRESOR 2</t>
  </si>
  <si>
    <t>FMECA!24</t>
  </si>
  <si>
    <t>RCM-023</t>
  </si>
  <si>
    <t>FILTRO DE AIRE SECUNDARIO (1054-AIR FILTER ELEMENT SECUNDARIO)</t>
  </si>
  <si>
    <t>INCAPACIDAD PARA RETENER CONTAMINACION U AGENTES EXTERNOS FINOS</t>
  </si>
  <si>
    <t>FMECA!25</t>
  </si>
  <si>
    <t>RCM-024</t>
  </si>
  <si>
    <t>FMECA!26</t>
  </si>
  <si>
    <t>RCM-025</t>
  </si>
  <si>
    <t>FMECA!27</t>
  </si>
  <si>
    <t>RCM-026</t>
  </si>
  <si>
    <t>SILENCIADOR (1062-MUFFLER)</t>
  </si>
  <si>
    <t>1062</t>
  </si>
  <si>
    <t>MAQUINA: Silenciador</t>
  </si>
  <si>
    <t>INCAPACIDAD PARA DISMINUIR RUIDO</t>
  </si>
  <si>
    <t>AUMENTO DE RUIDO DE GASES DE ESCAPE DE MOTOR DE COMBUSTION FALLA EVIDENTE</t>
  </si>
  <si>
    <t>REEMPLAZO DE MUFFLER</t>
  </si>
  <si>
    <t>FMECA!28</t>
  </si>
  <si>
    <t>RCM-027</t>
  </si>
  <si>
    <t>TURBOALIMENTACION Y POSENFRIAMIENTO AIRE-AIRE (1064-ATAAC)</t>
  </si>
  <si>
    <t>1064</t>
  </si>
  <si>
    <t>MOTOR: Aftercooler core</t>
  </si>
  <si>
    <t>INCAPACIDAD PARA BAJAR TEMPERATURA DE AIRE DE ADMISION</t>
  </si>
  <si>
    <t>BAJA EFICIENCIA DE COMBUSTION Y PERDIDA DE POTENCIA Y FALLA EVIDENTE</t>
  </si>
  <si>
    <t>REEMPLAZO DE ATAAC</t>
  </si>
  <si>
    <t>FMECA!29</t>
  </si>
  <si>
    <t>RCM-028</t>
  </si>
  <si>
    <t>BOMBA DE INYECCION DE COMBUSTIBLE DE ALTA PRESION (1251-FUEL INJECTION PUMP DE ALTA ( HPFP ))</t>
  </si>
  <si>
    <t>1251</t>
  </si>
  <si>
    <t>MOTOR: Bomba inyectora</t>
  </si>
  <si>
    <t>INCAPACIDAD DE SUMINISTRAR COMBUSTIBLE REQUERIDO A PRESION Y TEMPERATURAS ADECUADAS</t>
  </si>
  <si>
    <t>EXCESO DE VOLTAJE DE SENSOR DE PRESION DE COMBUSTIBLE PREVIO A FILTROS</t>
  </si>
  <si>
    <t>INESTABILIDAD DE LECTURA DE PRESION DE COMBUSTIBLE PREVIO A FILTROS Y FALLA EVIDENTE POR DETECCION VIMS</t>
  </si>
  <si>
    <t>INSPECCION VISUAL BUSQUEDA DE FALLA Y REVISION DE TAPON MAGNETICO (HPFP)</t>
  </si>
  <si>
    <t>FMECA!30</t>
  </si>
  <si>
    <t>RCM-029</t>
  </si>
  <si>
    <t>BAJA DE PRESION DE COMBUSTIBLE Y PERDIDA DE POTENCIA FALLA EVIDENTE</t>
  </si>
  <si>
    <t>RC</t>
  </si>
  <si>
    <t>RESTAURACION DE COMPONENTE BOMBA</t>
  </si>
  <si>
    <t>FMECA!31</t>
  </si>
  <si>
    <t>RCM-030</t>
  </si>
  <si>
    <t>BOMBA DE TRANSPORTE DE COMBUSTIBLE (1256-FUEL TRANSFER PUMP)</t>
  </si>
  <si>
    <t>1256</t>
  </si>
  <si>
    <t>MOTOR: Bomba transferencia combustible</t>
  </si>
  <si>
    <t>INCAPACIDAD PARA SUMINISTRAR COMBUSTIBLE REQUERIDO</t>
  </si>
  <si>
    <t>RESTRICCION DE FLUJO DE COMBUSTIBLE POR CONTAMINACION EN VALVULA</t>
  </si>
  <si>
    <t>BAJA PRESION DE SUMINISTRO DE COMBUSTIBLE Y PROBLEMA DE EFICIENCIA DE CFM O DESACTIVACION FALLA NO EVIDENTE</t>
  </si>
  <si>
    <t>CHEQUEO PRESION DE ENTRADA DE BOMBA DE TRANSFERENCIA Y PRESION DE BOMBA DE TRANSFERENCIA FILTRADO (BUSQUEDA DE FALLA)</t>
  </si>
  <si>
    <t>FMECA!32</t>
  </si>
  <si>
    <t>RCM-031</t>
  </si>
  <si>
    <t>BAJA PRESION DE SUMINISTRO DE COMBUSTIBLE Y PERDIDA DE POTENCIA FALLA EVIDENTE</t>
  </si>
  <si>
    <t>REEMPLAZO DE BOMBA CFM</t>
  </si>
  <si>
    <t>FMECA!33</t>
  </si>
  <si>
    <t>RCM-032</t>
  </si>
  <si>
    <t>BOMBA DE CEBADO DE COMBUSTIBLE (1258-FUEL PRIMING PUMP)</t>
  </si>
  <si>
    <t>1258</t>
  </si>
  <si>
    <t>MOTOR: Bomba cebado combustible</t>
  </si>
  <si>
    <t>INCAPACIDAD PARA REMOVER AIRE O AGENTES EXTERNOS AL COMBUSTIBLE</t>
  </si>
  <si>
    <t>PERDIDA DE PRESION DE COMBUSTIBLE Y POTENCIA FALLA EVIDENTE</t>
  </si>
  <si>
    <t>REEMPLAZO DE BOMBA DE CEBADO</t>
  </si>
  <si>
    <t>FMECA!34</t>
  </si>
  <si>
    <t>RCM-033</t>
  </si>
  <si>
    <t>TANQUE DE COMBUSTIBLE (1273-FUEL TANK)</t>
  </si>
  <si>
    <t>1273</t>
  </si>
  <si>
    <t>MAQUINA: Tanque de combustible</t>
  </si>
  <si>
    <t>ALMACENAR COMBUSTIBLE CONTAMINADO O CON SEDIMENTOS</t>
  </si>
  <si>
    <t>CONTAMINACION POR CORTE DEBIDO A SOBREAPRIETE EN FILTROS</t>
  </si>
  <si>
    <t>CFM NO ELEVA PRESION EN SUMINISTRO DE COMBUSTIBLE FALLA NO EVIDENTE</t>
  </si>
  <si>
    <t>INSPECCION VISUAL (END) (PAUTA MANTENIMIENTO) BUSQUEDA DE FALLA</t>
  </si>
  <si>
    <t>FMECA!35</t>
  </si>
  <si>
    <t>RCM-034</t>
  </si>
  <si>
    <t>CONTAMINACION EN VALVULA DE CARGA</t>
  </si>
  <si>
    <t>PERDIDA DE POTENCIA POR MALA CALIDAD DE COMBUSTIBLE Y FALLA NO EVIDENTE</t>
  </si>
  <si>
    <t>INSPECCION VISUAL</t>
  </si>
  <si>
    <t>FMECA!36</t>
  </si>
  <si>
    <t>RCM-035</t>
  </si>
  <si>
    <t>AUMENTO DE POSIBILIDAD DE FUGAS Y DAÑOS EN SUPERFICIE FALLA EVIDENTE</t>
  </si>
  <si>
    <t>RESTAURACION CICLICA DE TANQUE (Y ADEMAS DRENAR CADA 20.000 HRS)</t>
  </si>
  <si>
    <t>FMECA!37</t>
  </si>
  <si>
    <t>RCM-036</t>
  </si>
  <si>
    <t>SATURACION DE FILTRO DE RESPIRADERO</t>
  </si>
  <si>
    <t>PERDIDA DE POTENCIA Y FALLA ES NO EVIDENTE</t>
  </si>
  <si>
    <t>CAMBIAR FILTRO DE RESPIRADERO</t>
  </si>
  <si>
    <t>FMECA!38</t>
  </si>
  <si>
    <t>RCM-037</t>
  </si>
  <si>
    <t>SET DE UNIDADES DE INYECTOR DE COMBUSTIBLE (1290-UNIT INJECTOR)</t>
  </si>
  <si>
    <t>1290</t>
  </si>
  <si>
    <t>MOTOR: Inyector unitario</t>
  </si>
  <si>
    <t>INCAPACIDAD PARA SUMINISTRAR COMBUSTIBLE</t>
  </si>
  <si>
    <t>EQUIPO NO ENCIENDE O PERDIDA DE POTENCIA Y FALLA ES EVIDENTE</t>
  </si>
  <si>
    <t>REEMPLAZO DE SET DE INYECTORES</t>
  </si>
  <si>
    <t>FMECA!39</t>
  </si>
  <si>
    <t>RCM-038</t>
  </si>
  <si>
    <t>BOMBA DE PRELUBRICACION (1319-PRELUBRICATION PUMP)</t>
  </si>
  <si>
    <t>1319</t>
  </si>
  <si>
    <t>MOTOR: Bomba pre lubricación motor</t>
  </si>
  <si>
    <t>INCAPACIDAD PARA SUMINISTRAR ACEITE LUBRICANTE ANTES DE PUESTA EN MARCHA</t>
  </si>
  <si>
    <t>LUBRICACION DEFICIENTE DE COMPONENTES Y POSIBLE AUMENTO DE TEMPERATURA FALLA EVIDENTE</t>
  </si>
  <si>
    <t>RESTAURACION DE BOMBA DE PRELUBRICACION (CONSIDERAR EN MIDLIFE)</t>
  </si>
  <si>
    <t>FMECA!40</t>
  </si>
  <si>
    <t>RCM-039</t>
  </si>
  <si>
    <t>VENTILADOR (1356-FAN)</t>
  </si>
  <si>
    <t>1356</t>
  </si>
  <si>
    <t>MAQUINA: Ventilador</t>
  </si>
  <si>
    <t>INCAPACIDAD PARCIAL PARA SUMINISTRAR FLUJO DE AIRE</t>
  </si>
  <si>
    <t>EXCESO DE VELOCIDAD DE GIRO</t>
  </si>
  <si>
    <t>INESTABILIDAD DE SUMINISTRO DE FLUJO Y POSIBLE DISMINUCION DE VIDA UTIL DE VENTILADOR FALLA EVIDENTE POR DETECCION VIMS</t>
  </si>
  <si>
    <t>INSPECCION VISUAL DE SENSORES Y CONFIGURACION (ESTADO GENERAL)</t>
  </si>
  <si>
    <t>FMECA!41</t>
  </si>
  <si>
    <t>RCM-040</t>
  </si>
  <si>
    <t>AUMENTO DE TEMPERATURA DE COMPONENTES POR FALTA DE VENTILACION Y FALLA EVIDENTE</t>
  </si>
  <si>
    <t>REEMPLAZO VENTILADOR (CONSIDERADA EN OVERHAUL RADIADOR)</t>
  </si>
  <si>
    <t>FMECA!42</t>
  </si>
  <si>
    <t>RCM-041</t>
  </si>
  <si>
    <t>TERMOSTATO (135V-THERMOSTATIC VALVE)</t>
  </si>
  <si>
    <t>135V</t>
  </si>
  <si>
    <t>MAQUINA: Válvula termostática</t>
  </si>
  <si>
    <t>NO REGULA EL FLUJO DE REFRIGERANTE EN FUNCION DE LA TEMPERATURA</t>
  </si>
  <si>
    <t>AUMENTO DE TEMPERATURA REDUCCION DE POTENCIA FALLA NO EVIDENTE</t>
  </si>
  <si>
    <t>REEMPLAZO DE TERMOSTATO SEGÚN CONDICION</t>
  </si>
  <si>
    <t>FMECA!43</t>
  </si>
  <si>
    <t>RCM-042</t>
  </si>
  <si>
    <t>RADIADOR (1353-RADIATOR)</t>
  </si>
  <si>
    <t>1353</t>
  </si>
  <si>
    <t>MAQUINA: Radiador</t>
  </si>
  <si>
    <t>INCAPACIDAD PARA DISMINUIR TEMPERATURA DE REFRIGERANTE</t>
  </si>
  <si>
    <t>DISMINUCION DE EFICIENCIA DE ENFRIAMIENTO FALLA NO EVIDENTE</t>
  </si>
  <si>
    <t>REEMPLAZO DE RADIADOR</t>
  </si>
  <si>
    <t>FMECA!44</t>
  </si>
  <si>
    <t>RCM-043</t>
  </si>
  <si>
    <t>BOMBA DE AGUA (1361-WATER PUMP)</t>
  </si>
  <si>
    <t>1361</t>
  </si>
  <si>
    <t>MOTOR: Bomba de agua</t>
  </si>
  <si>
    <t>INCAPACIDAD DE IMPULSAR REFRIGERANTE DE FORMA CONTENIDA</t>
  </si>
  <si>
    <t>FUGAS EN SELLOS DE POLEA</t>
  </si>
  <si>
    <t>AUMENTO DE TEMPERATURA POR DISMINUCION DE EFICIENCIA DE ENFRIAMIENTO FALLA EVIDENTE POR DERRAMAMIENTO</t>
  </si>
  <si>
    <t>INSPECCION VISUAL Y CHEQUEO (CAMBIO DE SELLOS)</t>
  </si>
  <si>
    <t>FMECA!45</t>
  </si>
  <si>
    <t>RCM-044</t>
  </si>
  <si>
    <t>FUGAS EN CONEXIONES</t>
  </si>
  <si>
    <t>AUMENTO DE TEMPERATURA POR DISMINUCION DE EFICIENCIA DE ENFRIAMIENTO FALLA EVIDENTE</t>
  </si>
  <si>
    <t>INSPECCION VISUAL BUSQUEDA DE FALLAS</t>
  </si>
  <si>
    <t>FMECA!46</t>
  </si>
  <si>
    <t>RCM-045</t>
  </si>
  <si>
    <t>INCAPACIDAD DE IMPULSAR REFRIGERANTE</t>
  </si>
  <si>
    <t>RESTAURACION DE BOMBA</t>
  </si>
  <si>
    <t>FMECA!47</t>
  </si>
  <si>
    <t>RCM-046</t>
  </si>
  <si>
    <t>BOMBA DE AGUA AUXILIAR (1371-AUXILIARY/RAW WATER PUMP)</t>
  </si>
  <si>
    <t>1371</t>
  </si>
  <si>
    <t>MOTOR: Bomba de agua auxiliar</t>
  </si>
  <si>
    <t>AUMENTO DE TEMPERATURA POR DISMINUCION DE EFICIENCIA DE ENFRIAMIENTO FALLA NO EVIDENTE</t>
  </si>
  <si>
    <t>RESTAURACION DE BOMBA AUXILIAR (CONSIDERAR EN MIDLIFE)</t>
  </si>
  <si>
    <t>FMECA!48</t>
  </si>
  <si>
    <t>RCM-047</t>
  </si>
  <si>
    <t>ENFRIADOR DE ACEITE HIDRAULICO DE FRENOS (1374-HYDRAULIC OIL COOLER)</t>
  </si>
  <si>
    <t>1374</t>
  </si>
  <si>
    <t>LEVANTE/IMPLEMENTO: Enfriador de aceite hidráulico</t>
  </si>
  <si>
    <t>INCAPACIDAD PARA DISIPAR Y DISMINUIR LA TEMPERATURA DEL ACEITE</t>
  </si>
  <si>
    <t>AUMENTO DE TEMPERATURA DE FRENOS POR DISMINUCION DE EFICIENCIA DE ENFRIAMIENTO FALLA NO EVIDENTE</t>
  </si>
  <si>
    <t>REEMPLAZO DE COMPONENTE (CON CAMBIO MOTOR)</t>
  </si>
  <si>
    <t>FMECA!49</t>
  </si>
  <si>
    <t>RCM-048</t>
  </si>
  <si>
    <t>MANGUERAS Y LINEAS DE ENFRIAMIENTO (1380-COOLANT HOSE/LINES)</t>
  </si>
  <si>
    <t>1380</t>
  </si>
  <si>
    <t>MOTOR: Líneas de enfriamiento</t>
  </si>
  <si>
    <t>INCAPACIDAD PARA GARANTIZAR CONTENCION DE FLUIDO TRANSPORTADO</t>
  </si>
  <si>
    <t>FUGAS EN TUBOS REFRIGERANTES DE MOTOR</t>
  </si>
  <si>
    <t>AUMENTO DE TEMPERATURA POR DISMINUCION DE EFICIENCIA O FALTA DE ENFRIAMIENTO FALLA EVIDENTE POR DERRAMAMIENTO</t>
  </si>
  <si>
    <t>FMECA!50</t>
  </si>
  <si>
    <t>RCM-049</t>
  </si>
  <si>
    <t>AUMENTO DE TEMPERATURA POR DISMINUCION DE EFICIENCIA O FALTA DE ENFRIAMIENTO FALLA NO EVIDENTE</t>
  </si>
  <si>
    <t>REEMPLAZO DE DUCTOS (CON CAMBIO MOTOR)</t>
  </si>
  <si>
    <t>FMECA!51</t>
  </si>
  <si>
    <t>RCM-050</t>
  </si>
  <si>
    <t>MOTOR VENTILADOR HIDRAULICO (1386-HYDRAULIC FAN MOTOR)</t>
  </si>
  <si>
    <t>1386</t>
  </si>
  <si>
    <t>MAQUINA: Motor hidráulico del ventilador</t>
  </si>
  <si>
    <t>INCAPACIDAD PARA SUMINISTRAR POTENCIA</t>
  </si>
  <si>
    <t>VENTILADOR NO ENCIENDE AUMENTO DE TEMPERATURA DE MOTOR Y FALLA NO EVIDENTE</t>
  </si>
  <si>
    <t>RESTAURACION DE VENTILADOR (CONSIDERADO EN OVERHAUL RADIADOR)</t>
  </si>
  <si>
    <t>FMECA!52</t>
  </si>
  <si>
    <t>RCM-051</t>
  </si>
  <si>
    <t>BOMBA HIDRAULICA DE VENTILADOR (1387-HYDRAULIC FAN PUMP)</t>
  </si>
  <si>
    <t>1387</t>
  </si>
  <si>
    <t>MAQUINA: Bomba hidráulica del ventilador</t>
  </si>
  <si>
    <t>INCAPACIDAD DE SUMINISTRAR ACEITE LUBRICANTE</t>
  </si>
  <si>
    <t>RESTAURACION DE BOMBA DE VENTILADOR</t>
  </si>
  <si>
    <t>FMECA!53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</si>
</sst>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0"/>
      <name val="Arial"/>
      <charset val="1"/>
    </font>
    <font>
      <sz val="10"/>
      <name val="Arial"/>
      <charset val="1"/>
    </font>
    <font>
      <sz val="11"/>
      <color theme="1"/>
      <name val="Segoe UI"/>
      <family val="2"/>
    </font>
    <font>
      <b/>
      <sz val="11"/>
      <color theme="1"/>
      <name val="Segoe UI"/>
      <family val="2"/>
    </font>
    <font>
      <sz val="10"/>
      <name val="Arial"/>
      <family val="2"/>
    </font>
  </fonts>
  <fills count="6">
    <fill>
      <patternFill patternType="none"/>
    </fill>
    <fill>
      <patternFill patternType="gray125"/>
    </fill>
    <fill>
      <patternFill patternType="solid">
        <fgColor rgb="FFD9D9D9"/>
        <bgColor rgb="FFC0C0C0"/>
      </patternFill>
    </fill>
    <fill>
      <patternFill patternType="solid">
        <fgColor rgb="FFFFFF00"/>
        <bgColor rgb="FFFFFF00"/>
      </patternFill>
    </fill>
    <fill>
      <patternFill patternType="solid">
        <fgColor rgb="FFF5F5F5"/>
        <bgColor indexed="64"/>
      </patternFill>
    </fill>
    <fill>
      <patternFill patternType="solid">
        <fgColor rgb="FFFFFF00"/>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1" fillId="2" borderId="0" xfId="0" applyFont="1" applyFill="1"/>
    <xf numFmtId="0" fontId="1" fillId="3" borderId="0" xfId="0" applyFont="1" applyFill="1"/>
    <xf numFmtId="0" fontId="2" fillId="0" borderId="0" xfId="0" applyFont="1" applyAlignment="1">
      <alignment vertical="top" wrapText="1"/>
    </xf>
    <xf numFmtId="0" fontId="2" fillId="3" borderId="0" xfId="0" applyFont="1" applyFill="1"/>
    <xf numFmtId="0" fontId="4" fillId="4"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5" borderId="0" xfId="0" applyFont="1" applyFill="1" applyAlignment="1">
      <alignment vertical="top" wrapText="1"/>
    </xf>
    <xf numFmtId="0" fontId="5" fillId="3" borderId="0" xfId="0" applyFont="1" applyFill="1"/>
    <xf numFmtId="0" fontId="3"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zoomScaleNormal="100" workbookViewId="0"/>
  </sheetViews>
  <sheetFormatPr defaultColWidth="8.7109375" defaultRowHeight="15"/>
  <cols>
    <col min="1" max="1" width="120" customWidth="1"/>
  </cols>
  <sheetData>
    <row r="1" spans="1:1">
      <c r="A1" s="1" t="s">
        <v>0</v>
      </c>
    </row>
    <row r="2" spans="1:1">
      <c r="A2" s="2" t="s">
        <v>1</v>
      </c>
    </row>
    <row r="3" spans="1:1">
      <c r="A3" s="1" t="s">
        <v>2</v>
      </c>
    </row>
    <row r="4" spans="1:1">
      <c r="A4" s="2" t="s">
        <v>3</v>
      </c>
    </row>
    <row r="5" spans="1:1">
      <c r="A5" s="2" t="s">
        <v>4</v>
      </c>
    </row>
    <row r="6" spans="1:1">
      <c r="A6" s="2" t="s">
        <v>5</v>
      </c>
    </row>
    <row r="7" spans="1:1">
      <c r="A7" s="1" t="s">
        <v>6</v>
      </c>
    </row>
    <row r="8" spans="1:1">
      <c r="A8" s="2" t="s">
        <v>7</v>
      </c>
    </row>
    <row r="9" spans="1:1">
      <c r="A9" s="2" t="s">
        <v>8</v>
      </c>
    </row>
    <row r="10" spans="1:1">
      <c r="A10" s="1" t="s">
        <v>9</v>
      </c>
    </row>
    <row r="11" spans="1:1">
      <c r="A11" s="2" t="s">
        <v>10</v>
      </c>
    </row>
    <row r="12" spans="1:1">
      <c r="A12" s="2" t="s">
        <v>11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7109375" defaultRowHeight="15"/>
  <cols>
    <col min="1" max="1" width="60" customWidth="1"/>
  </cols>
  <sheetData>
    <row r="1" spans="1:2">
      <c r="A1" s="1" t="s">
        <v>12</v>
      </c>
      <c r="B1" s="1" t="s">
        <v>13</v>
      </c>
    </row>
    <row r="2" spans="1:2">
      <c r="A2" s="2" t="s">
        <v>14</v>
      </c>
      <c r="B2" s="2" t="str">
        <f>COUNTA('Modos RCM'!A:A)-1</f>
        <v/>
      </c>
    </row>
    <row r="3" spans="1:2">
      <c r="A3" s="2" t="s">
        <v>15</v>
      </c>
      <c r="B3" s="2" t="str">
        <f>COUNTIF('Modos RCM'!D:D,"NO ENCONTRADO")</f>
        <v/>
      </c>
    </row>
    <row r="4" spans="1:2">
      <c r="A4" s="2" t="s">
        <v>16</v>
      </c>
      <c r="B4" s="2" t="str">
        <f>COUNTA(Síntomas!A:A)-1</f>
        <v/>
      </c>
    </row>
    <row r="5" spans="1:2">
      <c r="A5" s="2" t="s">
        <v>17</v>
      </c>
      <c r="B5" s="2" t="str">
        <f>COUNTIF(Síntomas!B:B,"instrumentacion")</f>
        <v/>
      </c>
    </row>
    <row r="6" spans="1:2">
      <c r="A6" s="2" t="s">
        <v>18</v>
      </c>
      <c r="B6" s="2" t="str">
        <f>COUNTIF(Síntomas!B:B,"evento_diagnostico")</f>
        <v/>
      </c>
    </row>
    <row r="7" spans="1:2">
      <c r="A7" s="2" t="s">
        <v>19</v>
      </c>
      <c r="B7" s="2" t="str">
        <f>COUNTIFS(Síntomas!F2:F1000,"",Síntomas!B2:B1000,"aceite_lab")+COUNTIFS(Síntomas!F2:F1000,"",Síntomas!B2:B1000,"particulado")+COUNTIFS(Síntomas!F2:F1000,"",Síntomas!B2:B1000,"parametro_operacional")</f>
        <v/>
      </c>
    </row>
    <row r="8" spans="1:2">
      <c r="A8" s="2" t="s">
        <v>20</v>
      </c>
      <c r="B8" s="2" t="str">
        <f>COUNTA('Modos predictivos'!A:A)-1</f>
        <v/>
      </c>
    </row>
    <row r="9" spans="1:2">
      <c r="A9" s="2" t="s">
        <v>21</v>
      </c>
      <c r="B9" s="2" t="str">
        <f>COUNTA('Modos predictivos'!J:J)+COUNTA(Síntomas!M:M)+COUNTA('Modos RCM'!P:P)-3</f>
        <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
  <sheetViews>
    <sheetView tabSelected="1" zoomScaleNormal="100" workbookViewId="0">
      <pane xSplit="2" ySplit="1" topLeftCell="C17" activePane="bottomRight" state="frozen"/>
      <selection pane="bottomRight" activeCell="F19" sqref="F19"/>
      <selection pane="bottomLeft" activeCell="A2" sqref="A2"/>
      <selection pane="topRight" activeCell="C1" sqref="C1"/>
    </sheetView>
  </sheetViews>
  <sheetFormatPr defaultColWidth="8.7109375" defaultRowHeight="15"/>
  <cols>
    <col min="1" max="1" width="9" customWidth="1"/>
    <col min="2" max="2" width="32.42578125" customWidth="1"/>
    <col min="3" max="3" width="9.85546875" customWidth="1"/>
    <col min="4" max="4" width="54" customWidth="1"/>
    <col min="5" max="5" width="19.85546875" customWidth="1"/>
    <col min="6" max="6" width="38.7109375" customWidth="1"/>
    <col min="7" max="7" width="54" customWidth="1"/>
    <col min="8" max="8" width="65.85546875" customWidth="1"/>
    <col min="9" max="9" width="54" customWidth="1"/>
    <col min="10" max="10" width="9" customWidth="1"/>
    <col min="11" max="12" width="10.85546875" customWidth="1"/>
  </cols>
  <sheetData>
    <row r="1" spans="1:12">
      <c r="A1" s="3" t="s">
        <v>22</v>
      </c>
      <c r="B1" s="3" t="s">
        <v>23</v>
      </c>
      <c r="C1" s="3" t="s">
        <v>24</v>
      </c>
      <c r="D1" s="3" t="s">
        <v>25</v>
      </c>
      <c r="E1" s="3" t="s">
        <v>26</v>
      </c>
      <c r="F1" s="3" t="s">
        <v>27</v>
      </c>
      <c r="G1" s="3" t="s">
        <v>28</v>
      </c>
      <c r="H1" s="3" t="s">
        <v>29</v>
      </c>
      <c r="I1" s="3" t="s">
        <v>30</v>
      </c>
      <c r="J1" s="4" t="s">
        <v>31</v>
      </c>
      <c r="K1" s="4" t="s">
        <v>32</v>
      </c>
      <c r="L1" s="4" t="s">
        <v>33</v>
      </c>
    </row>
    <row r="2" spans="1:12" ht="25.5" customHeight="1">
      <c r="A2" s="5" t="s">
        <v>34</v>
      </c>
      <c r="B2" s="5" t="s">
        <v>35</v>
      </c>
      <c r="C2" s="5" t="s">
        <v>36</v>
      </c>
      <c r="D2" s="5" t="s">
        <v>37</v>
      </c>
      <c r="E2" s="5" t="s">
        <v>38</v>
      </c>
      <c r="F2" s="5" t="s">
        <v>39</v>
      </c>
      <c r="G2" s="5" t="s">
        <v>40</v>
      </c>
      <c r="H2" s="5" t="s">
        <v>41</v>
      </c>
      <c r="I2" s="5" t="s">
        <v>42</v>
      </c>
      <c r="J2" s="6"/>
      <c r="K2" s="6"/>
      <c r="L2" s="6"/>
    </row>
    <row r="3" spans="1:12" ht="25.5" customHeight="1">
      <c r="A3" s="5" t="s">
        <v>43</v>
      </c>
      <c r="B3" s="5" t="s">
        <v>44</v>
      </c>
      <c r="C3" s="5" t="s">
        <v>36</v>
      </c>
      <c r="D3" s="5" t="s">
        <v>45</v>
      </c>
      <c r="E3" s="5" t="s">
        <v>46</v>
      </c>
      <c r="F3" s="5" t="s">
        <v>47</v>
      </c>
      <c r="G3" s="5" t="s">
        <v>48</v>
      </c>
      <c r="H3" s="5" t="s">
        <v>49</v>
      </c>
      <c r="I3" s="5" t="s">
        <v>50</v>
      </c>
      <c r="J3" s="6"/>
      <c r="K3" s="6"/>
      <c r="L3" s="6"/>
    </row>
    <row r="4" spans="1:12" ht="25.5" customHeight="1">
      <c r="A4" s="5" t="s">
        <v>51</v>
      </c>
      <c r="B4" s="5" t="s">
        <v>52</v>
      </c>
      <c r="C4" s="5" t="s">
        <v>36</v>
      </c>
      <c r="D4" s="5" t="s">
        <v>53</v>
      </c>
      <c r="E4" s="5" t="s">
        <v>46</v>
      </c>
      <c r="F4" s="5" t="s">
        <v>47</v>
      </c>
      <c r="G4" s="5" t="s">
        <v>54</v>
      </c>
      <c r="H4" s="5" t="s">
        <v>49</v>
      </c>
      <c r="I4" s="5" t="s">
        <v>55</v>
      </c>
      <c r="J4" s="6"/>
      <c r="K4" s="6"/>
      <c r="L4" s="6"/>
    </row>
    <row r="5" spans="1:12" ht="25.5" customHeight="1">
      <c r="A5" s="5" t="s">
        <v>56</v>
      </c>
      <c r="B5" s="5" t="s">
        <v>57</v>
      </c>
      <c r="C5" s="5" t="s">
        <v>58</v>
      </c>
      <c r="D5" s="5" t="s">
        <v>59</v>
      </c>
      <c r="E5" s="5" t="s">
        <v>60</v>
      </c>
      <c r="F5" s="5" t="s">
        <v>61</v>
      </c>
      <c r="G5" s="5" t="s">
        <v>62</v>
      </c>
      <c r="H5" s="5" t="s">
        <v>49</v>
      </c>
      <c r="I5" s="5" t="s">
        <v>63</v>
      </c>
      <c r="J5" s="6"/>
      <c r="K5" s="6"/>
      <c r="L5" s="6"/>
    </row>
    <row r="6" spans="1:12">
      <c r="A6" s="5" t="s">
        <v>64</v>
      </c>
      <c r="B6" s="5" t="s">
        <v>65</v>
      </c>
      <c r="C6" s="5" t="s">
        <v>36</v>
      </c>
      <c r="D6" s="5" t="s">
        <v>66</v>
      </c>
      <c r="E6" s="5" t="s">
        <v>67</v>
      </c>
      <c r="F6" s="5" t="s">
        <v>68</v>
      </c>
      <c r="G6" s="5" t="s">
        <v>69</v>
      </c>
      <c r="H6" s="5" t="s">
        <v>41</v>
      </c>
      <c r="I6" s="5" t="s">
        <v>70</v>
      </c>
      <c r="J6" s="6"/>
      <c r="K6" s="6"/>
      <c r="L6" s="6"/>
    </row>
    <row r="7" spans="1:12" ht="25.5" customHeight="1">
      <c r="A7" s="5" t="s">
        <v>71</v>
      </c>
      <c r="B7" s="5" t="s">
        <v>72</v>
      </c>
      <c r="C7" s="5" t="s">
        <v>36</v>
      </c>
      <c r="D7" s="5" t="s">
        <v>73</v>
      </c>
      <c r="E7" s="5" t="s">
        <v>46</v>
      </c>
      <c r="F7" s="5" t="s">
        <v>47</v>
      </c>
      <c r="G7" s="5" t="s">
        <v>74</v>
      </c>
      <c r="H7" s="5" t="s">
        <v>49</v>
      </c>
      <c r="I7" s="5" t="s">
        <v>75</v>
      </c>
      <c r="J7" s="6"/>
      <c r="K7" s="6"/>
      <c r="L7" s="6"/>
    </row>
    <row r="8" spans="1:12" ht="25.5" customHeight="1">
      <c r="A8" s="5" t="s">
        <v>76</v>
      </c>
      <c r="B8" s="5" t="s">
        <v>77</v>
      </c>
      <c r="C8" s="5" t="s">
        <v>78</v>
      </c>
      <c r="D8" s="5" t="s">
        <v>79</v>
      </c>
      <c r="E8" s="5" t="s">
        <v>38</v>
      </c>
      <c r="F8" s="5" t="s">
        <v>80</v>
      </c>
      <c r="G8" s="5" t="s">
        <v>81</v>
      </c>
      <c r="H8" s="5" t="s">
        <v>41</v>
      </c>
      <c r="I8" s="5" t="s">
        <v>82</v>
      </c>
      <c r="J8" s="6"/>
      <c r="K8" s="6"/>
      <c r="L8" s="6"/>
    </row>
    <row r="9" spans="1:12" ht="38.25" customHeight="1">
      <c r="A9" s="5" t="s">
        <v>83</v>
      </c>
      <c r="B9" s="5" t="s">
        <v>84</v>
      </c>
      <c r="C9" s="5" t="s">
        <v>36</v>
      </c>
      <c r="D9" s="5" t="s">
        <v>85</v>
      </c>
      <c r="E9" s="5" t="s">
        <v>86</v>
      </c>
      <c r="F9" s="5" t="s">
        <v>87</v>
      </c>
      <c r="G9" s="5" t="s">
        <v>88</v>
      </c>
      <c r="H9" s="5" t="s">
        <v>89</v>
      </c>
      <c r="I9" s="5" t="s">
        <v>90</v>
      </c>
      <c r="J9" s="6"/>
      <c r="K9" s="6"/>
      <c r="L9" s="6"/>
    </row>
    <row r="16" spans="1:12">
      <c r="A16" t="s">
        <v>91</v>
      </c>
      <c r="B16" t="s">
        <v>92</v>
      </c>
      <c r="C16" t="s">
        <v>93</v>
      </c>
      <c r="D16" t="s">
        <v>94</v>
      </c>
      <c r="E16" t="s">
        <v>95</v>
      </c>
      <c r="F16" t="s">
        <v>96</v>
      </c>
      <c r="G16" t="s">
        <v>97</v>
      </c>
      <c r="H16" t="s">
        <v>98</v>
      </c>
      <c r="I16" t="s">
        <v>99</v>
      </c>
    </row>
    <row r="17" spans="1:10" ht="25.5" customHeight="1">
      <c r="A17" t="s">
        <v>34</v>
      </c>
      <c r="B17" t="s">
        <v>35</v>
      </c>
      <c r="C17" t="s">
        <v>78</v>
      </c>
      <c r="D17" s="5" t="s">
        <v>100</v>
      </c>
      <c r="E17" t="s">
        <v>101</v>
      </c>
      <c r="F17" t="s">
        <v>39</v>
      </c>
      <c r="G17" s="5" t="s">
        <v>40</v>
      </c>
      <c r="H17" t="s">
        <v>102</v>
      </c>
      <c r="I17" s="5" t="s">
        <v>103</v>
      </c>
      <c r="J17" t="s">
        <v>104</v>
      </c>
    </row>
    <row r="18" spans="1:10" ht="15.75" customHeight="1" thickBot="1">
      <c r="A18" t="s">
        <v>43</v>
      </c>
      <c r="B18" t="s">
        <v>44</v>
      </c>
      <c r="C18" t="s">
        <v>36</v>
      </c>
      <c r="D18" t="s">
        <v>105</v>
      </c>
      <c r="E18" t="s">
        <v>106</v>
      </c>
      <c r="F18" t="s">
        <v>47</v>
      </c>
      <c r="G18" t="s">
        <v>48</v>
      </c>
      <c r="H18" t="s">
        <v>107</v>
      </c>
      <c r="I18" t="s">
        <v>108</v>
      </c>
      <c r="J18" t="s">
        <v>104</v>
      </c>
    </row>
    <row r="19" spans="1:10" ht="83.25" customHeight="1" thickBot="1">
      <c r="A19" s="8" t="s">
        <v>51</v>
      </c>
      <c r="B19" s="8" t="s">
        <v>52</v>
      </c>
      <c r="C19" s="8" t="s">
        <v>36</v>
      </c>
      <c r="D19" s="8" t="s">
        <v>109</v>
      </c>
      <c r="E19" s="8" t="s">
        <v>110</v>
      </c>
      <c r="F19" s="8" t="s">
        <v>111</v>
      </c>
      <c r="G19" s="8" t="s">
        <v>112</v>
      </c>
      <c r="H19" s="8" t="s">
        <v>107</v>
      </c>
      <c r="I19" s="8" t="s">
        <v>113</v>
      </c>
      <c r="J19" t="s">
        <v>104</v>
      </c>
    </row>
    <row r="20" spans="1:10" ht="50.25" customHeight="1" thickBot="1">
      <c r="A20" s="8" t="s">
        <v>56</v>
      </c>
      <c r="B20" s="8" t="s">
        <v>57</v>
      </c>
      <c r="C20" s="8" t="s">
        <v>58</v>
      </c>
      <c r="D20" s="8" t="s">
        <v>59</v>
      </c>
      <c r="E20" s="8" t="s">
        <v>114</v>
      </c>
      <c r="F20" s="8" t="s">
        <v>115</v>
      </c>
      <c r="G20" s="8" t="s">
        <v>62</v>
      </c>
      <c r="H20" s="8" t="s">
        <v>107</v>
      </c>
      <c r="I20" s="8" t="s">
        <v>116</v>
      </c>
      <c r="J20" t="s">
        <v>104</v>
      </c>
    </row>
    <row r="21" spans="1:10" ht="83.25" customHeight="1" thickBot="1">
      <c r="A21" s="7" t="s">
        <v>64</v>
      </c>
      <c r="B21" s="8" t="s">
        <v>65</v>
      </c>
      <c r="C21" s="8" t="s">
        <v>36</v>
      </c>
      <c r="D21" s="8" t="s">
        <v>66</v>
      </c>
      <c r="E21" s="9" t="s">
        <v>117</v>
      </c>
      <c r="F21" s="8" t="s">
        <v>68</v>
      </c>
      <c r="G21" s="8" t="s">
        <v>69</v>
      </c>
      <c r="H21" s="8" t="s">
        <v>102</v>
      </c>
      <c r="I21" s="8" t="s">
        <v>118</v>
      </c>
      <c r="J21" t="s">
        <v>104</v>
      </c>
    </row>
    <row r="22" spans="1:10" ht="83.25" customHeight="1" thickBot="1">
      <c r="A22" s="7" t="s">
        <v>71</v>
      </c>
      <c r="B22" s="8" t="s">
        <v>72</v>
      </c>
      <c r="C22" s="8" t="s">
        <v>36</v>
      </c>
      <c r="D22" s="8" t="s">
        <v>73</v>
      </c>
      <c r="E22" s="9" t="s">
        <v>119</v>
      </c>
      <c r="F22" s="8" t="s">
        <v>47</v>
      </c>
      <c r="G22" s="8" t="s">
        <v>74</v>
      </c>
      <c r="H22" s="8" t="s">
        <v>107</v>
      </c>
      <c r="I22" s="8" t="s">
        <v>120</v>
      </c>
      <c r="J22" t="s">
        <v>104</v>
      </c>
    </row>
    <row r="23" spans="1:10" ht="83.25" customHeight="1" thickBot="1">
      <c r="A23" s="7" t="s">
        <v>76</v>
      </c>
      <c r="B23" s="8" t="s">
        <v>77</v>
      </c>
      <c r="C23" s="8" t="s">
        <v>78</v>
      </c>
      <c r="D23" s="8" t="s">
        <v>79</v>
      </c>
      <c r="E23" s="9" t="s">
        <v>121</v>
      </c>
      <c r="F23" s="8" t="s">
        <v>80</v>
      </c>
      <c r="G23" s="8" t="s">
        <v>81</v>
      </c>
      <c r="H23" s="8" t="s">
        <v>102</v>
      </c>
      <c r="I23" s="8" t="s">
        <v>122</v>
      </c>
      <c r="J23" t="s">
        <v>104</v>
      </c>
    </row>
    <row r="24" spans="1:10" ht="83.25" customHeight="1" thickBot="1">
      <c r="A24" s="7" t="s">
        <v>83</v>
      </c>
      <c r="B24" s="8" t="s">
        <v>84</v>
      </c>
      <c r="C24" s="8" t="s">
        <v>36</v>
      </c>
      <c r="D24" s="8" t="s">
        <v>85</v>
      </c>
      <c r="E24" s="9" t="s">
        <v>86</v>
      </c>
      <c r="F24" s="8" t="s">
        <v>87</v>
      </c>
      <c r="G24" s="8" t="s">
        <v>88</v>
      </c>
      <c r="H24" s="8" t="s">
        <v>123</v>
      </c>
      <c r="I24" s="8" t="s">
        <v>124</v>
      </c>
      <c r="J24" t="s">
        <v>104</v>
      </c>
    </row>
  </sheetData>
  <autoFilter ref="A1:L9" xr:uid="{00000000-0009-0000-0000-000002000000}"/>
  <dataValidations count="1">
    <dataValidation type="list" allowBlank="1" sqref="J2:J9" xr:uid="{00000000-0002-0000-0200-000000000000}">
      <formula1>"S,N"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14"/>
  <sheetViews>
    <sheetView zoomScaleNormal="100" workbookViewId="0">
      <pane xSplit="2" ySplit="1" topLeftCell="J2" activePane="bottomRight" state="frozen"/>
      <selection pane="bottomRight" activeCell="M109" sqref="M2:M109"/>
      <selection pane="bottomLeft" activeCell="A2" sqref="A2"/>
      <selection pane="topRight" activeCell="C1" sqref="C1"/>
    </sheetView>
  </sheetViews>
  <sheetFormatPr defaultColWidth="8.7109375" defaultRowHeight="15"/>
  <cols>
    <col min="1" max="1" width="9" customWidth="1"/>
    <col min="2" max="2" width="16.140625" customWidth="1"/>
    <col min="3" max="3" width="9" customWidth="1"/>
    <col min="4" max="4" width="35.140625" customWidth="1"/>
    <col min="5" max="5" width="45" customWidth="1"/>
    <col min="6" max="6" width="19.85546875" customWidth="1"/>
    <col min="7" max="7" width="14.42578125" customWidth="1"/>
    <col min="8" max="8" width="9" customWidth="1"/>
    <col min="9" max="9" width="19.85546875" customWidth="1"/>
    <col min="10" max="11" width="54" customWidth="1"/>
    <col min="12" max="12" width="53.140625" customWidth="1"/>
    <col min="13" max="13" width="9" customWidth="1"/>
    <col min="14" max="15" width="10.85546875" customWidth="1"/>
  </cols>
  <sheetData>
    <row r="1" spans="1:15">
      <c r="A1" s="3" t="s">
        <v>22</v>
      </c>
      <c r="B1" s="3" t="s">
        <v>125</v>
      </c>
      <c r="C1" s="3" t="s">
        <v>126</v>
      </c>
      <c r="D1" s="3" t="s">
        <v>127</v>
      </c>
      <c r="E1" s="3" t="s">
        <v>128</v>
      </c>
      <c r="F1" s="3" t="s">
        <v>129</v>
      </c>
      <c r="G1" s="3" t="s">
        <v>130</v>
      </c>
      <c r="H1" s="3" t="s">
        <v>131</v>
      </c>
      <c r="I1" s="3" t="s">
        <v>132</v>
      </c>
      <c r="J1" s="3" t="s">
        <v>133</v>
      </c>
      <c r="K1" s="3" t="s">
        <v>134</v>
      </c>
      <c r="L1" s="3" t="s">
        <v>135</v>
      </c>
      <c r="M1" s="4" t="s">
        <v>31</v>
      </c>
      <c r="N1" s="4" t="s">
        <v>32</v>
      </c>
      <c r="O1" s="4" t="s">
        <v>33</v>
      </c>
    </row>
    <row r="2" spans="1:15" ht="76.5" customHeight="1">
      <c r="A2" s="5" t="s">
        <v>136</v>
      </c>
      <c r="B2" s="5" t="s">
        <v>137</v>
      </c>
      <c r="C2" s="5" t="s">
        <v>138</v>
      </c>
      <c r="D2" s="5" t="s">
        <v>139</v>
      </c>
      <c r="E2" s="5" t="s">
        <v>140</v>
      </c>
      <c r="F2" s="5" t="s">
        <v>141</v>
      </c>
      <c r="G2" s="5" t="s">
        <v>142</v>
      </c>
      <c r="H2" s="5" t="s">
        <v>143</v>
      </c>
      <c r="I2" s="5" t="s">
        <v>34</v>
      </c>
      <c r="J2" s="5" t="s">
        <v>144</v>
      </c>
      <c r="K2" s="5" t="s">
        <v>145</v>
      </c>
      <c r="L2" s="5" t="s">
        <v>146</v>
      </c>
      <c r="M2" s="6" t="s">
        <v>104</v>
      </c>
      <c r="N2" s="6"/>
      <c r="O2" s="6"/>
    </row>
    <row r="3" spans="1:15" ht="63.75" customHeight="1">
      <c r="A3" s="5" t="s">
        <v>147</v>
      </c>
      <c r="B3" s="5" t="s">
        <v>137</v>
      </c>
      <c r="C3" s="5" t="s">
        <v>138</v>
      </c>
      <c r="D3" s="5" t="s">
        <v>148</v>
      </c>
      <c r="E3" s="5" t="s">
        <v>149</v>
      </c>
      <c r="F3" s="5" t="s">
        <v>150</v>
      </c>
      <c r="G3" s="5" t="s">
        <v>151</v>
      </c>
      <c r="H3" s="5" t="s">
        <v>152</v>
      </c>
      <c r="I3" s="5" t="s">
        <v>153</v>
      </c>
      <c r="J3" s="5" t="s">
        <v>41</v>
      </c>
      <c r="K3" s="5" t="s">
        <v>154</v>
      </c>
      <c r="L3" s="5" t="s">
        <v>155</v>
      </c>
      <c r="M3" s="6" t="s">
        <v>104</v>
      </c>
      <c r="N3" s="6"/>
      <c r="O3" s="6"/>
    </row>
    <row r="4" spans="1:15" ht="89.25" customHeight="1">
      <c r="A4" s="5" t="s">
        <v>156</v>
      </c>
      <c r="B4" s="5" t="s">
        <v>137</v>
      </c>
      <c r="C4" s="5" t="s">
        <v>138</v>
      </c>
      <c r="D4" s="5" t="s">
        <v>148</v>
      </c>
      <c r="E4" s="5" t="s">
        <v>157</v>
      </c>
      <c r="F4" s="5" t="s">
        <v>158</v>
      </c>
      <c r="G4" s="5" t="s">
        <v>142</v>
      </c>
      <c r="H4" s="5" t="s">
        <v>143</v>
      </c>
      <c r="I4" s="5" t="s">
        <v>51</v>
      </c>
      <c r="J4" s="5" t="s">
        <v>41</v>
      </c>
      <c r="K4" s="5" t="s">
        <v>159</v>
      </c>
      <c r="L4" s="5" t="s">
        <v>160</v>
      </c>
      <c r="M4" s="6" t="s">
        <v>104</v>
      </c>
      <c r="N4" s="6"/>
      <c r="O4" s="6"/>
    </row>
    <row r="5" spans="1:15" ht="25.5" customHeight="1">
      <c r="A5" s="5" t="s">
        <v>161</v>
      </c>
      <c r="B5" s="5" t="s">
        <v>137</v>
      </c>
      <c r="C5" s="5" t="s">
        <v>138</v>
      </c>
      <c r="D5" s="5" t="s">
        <v>148</v>
      </c>
      <c r="E5" s="5" t="s">
        <v>162</v>
      </c>
      <c r="F5" s="5" t="s">
        <v>163</v>
      </c>
      <c r="G5" s="5" t="s">
        <v>142</v>
      </c>
      <c r="H5" s="5" t="s">
        <v>143</v>
      </c>
      <c r="I5" s="5" t="s">
        <v>56</v>
      </c>
      <c r="J5" s="5" t="s">
        <v>164</v>
      </c>
      <c r="K5" s="5" t="s">
        <v>165</v>
      </c>
      <c r="L5" s="5" t="s">
        <v>166</v>
      </c>
      <c r="M5" s="6" t="s">
        <v>104</v>
      </c>
      <c r="N5" s="6"/>
      <c r="O5" s="6"/>
    </row>
    <row r="6" spans="1:15" ht="63.75" customHeight="1">
      <c r="A6" s="5" t="s">
        <v>167</v>
      </c>
      <c r="B6" s="5" t="s">
        <v>137</v>
      </c>
      <c r="C6" s="5" t="s">
        <v>138</v>
      </c>
      <c r="D6" s="5" t="s">
        <v>148</v>
      </c>
      <c r="E6" s="5" t="s">
        <v>168</v>
      </c>
      <c r="F6" s="5" t="s">
        <v>169</v>
      </c>
      <c r="G6" s="5" t="s">
        <v>142</v>
      </c>
      <c r="H6" s="5" t="s">
        <v>143</v>
      </c>
      <c r="I6" s="5" t="s">
        <v>170</v>
      </c>
      <c r="J6" s="5" t="s">
        <v>41</v>
      </c>
      <c r="K6" s="5" t="s">
        <v>171</v>
      </c>
      <c r="L6" s="5" t="s">
        <v>172</v>
      </c>
      <c r="M6" s="6" t="s">
        <v>104</v>
      </c>
      <c r="N6" s="6"/>
      <c r="O6" s="6"/>
    </row>
    <row r="7" spans="1:15" ht="114.75" customHeight="1">
      <c r="A7" s="5" t="s">
        <v>173</v>
      </c>
      <c r="B7" s="5" t="s">
        <v>137</v>
      </c>
      <c r="C7" s="5" t="s">
        <v>138</v>
      </c>
      <c r="D7" s="5" t="s">
        <v>148</v>
      </c>
      <c r="E7" s="5" t="s">
        <v>174</v>
      </c>
      <c r="F7" s="5" t="s">
        <v>175</v>
      </c>
      <c r="G7" s="5" t="s">
        <v>142</v>
      </c>
      <c r="H7" s="5" t="s">
        <v>143</v>
      </c>
      <c r="I7" s="5" t="s">
        <v>176</v>
      </c>
      <c r="J7" s="5" t="s">
        <v>41</v>
      </c>
      <c r="K7" s="5" t="s">
        <v>177</v>
      </c>
      <c r="L7" s="5" t="s">
        <v>178</v>
      </c>
      <c r="M7" s="6" t="s">
        <v>104</v>
      </c>
      <c r="N7" s="6"/>
      <c r="O7" s="6"/>
    </row>
    <row r="8" spans="1:15" ht="63.75" customHeight="1">
      <c r="A8" s="5" t="s">
        <v>179</v>
      </c>
      <c r="B8" s="5" t="s">
        <v>137</v>
      </c>
      <c r="C8" s="5" t="s">
        <v>138</v>
      </c>
      <c r="D8" s="5" t="s">
        <v>180</v>
      </c>
      <c r="E8" s="5" t="s">
        <v>181</v>
      </c>
      <c r="F8" s="5" t="s">
        <v>182</v>
      </c>
      <c r="G8" s="5" t="s">
        <v>142</v>
      </c>
      <c r="H8" s="5" t="s">
        <v>143</v>
      </c>
      <c r="I8" s="5" t="s">
        <v>51</v>
      </c>
      <c r="J8" s="5" t="s">
        <v>144</v>
      </c>
      <c r="K8" s="5" t="s">
        <v>183</v>
      </c>
      <c r="L8" s="5" t="s">
        <v>184</v>
      </c>
      <c r="M8" s="6" t="s">
        <v>104</v>
      </c>
      <c r="N8" s="6"/>
      <c r="O8" s="6"/>
    </row>
    <row r="9" spans="1:15" ht="102" customHeight="1">
      <c r="A9" s="5" t="s">
        <v>185</v>
      </c>
      <c r="B9" s="5" t="s">
        <v>137</v>
      </c>
      <c r="C9" s="5" t="s">
        <v>138</v>
      </c>
      <c r="D9" s="5" t="s">
        <v>186</v>
      </c>
      <c r="E9" s="5" t="s">
        <v>187</v>
      </c>
      <c r="F9" s="5" t="s">
        <v>158</v>
      </c>
      <c r="G9" s="5" t="s">
        <v>142</v>
      </c>
      <c r="H9" s="5" t="s">
        <v>143</v>
      </c>
      <c r="I9" s="5" t="s">
        <v>51</v>
      </c>
      <c r="J9" s="5" t="s">
        <v>144</v>
      </c>
      <c r="K9" s="5" t="s">
        <v>188</v>
      </c>
      <c r="L9" s="5" t="s">
        <v>189</v>
      </c>
      <c r="M9" s="6" t="s">
        <v>104</v>
      </c>
      <c r="N9" s="6"/>
      <c r="O9" s="6"/>
    </row>
    <row r="10" spans="1:15" ht="63.75" customHeight="1">
      <c r="A10" s="5" t="s">
        <v>190</v>
      </c>
      <c r="B10" s="5" t="s">
        <v>137</v>
      </c>
      <c r="C10" s="5" t="s">
        <v>138</v>
      </c>
      <c r="D10" s="5" t="s">
        <v>191</v>
      </c>
      <c r="E10" s="5" t="s">
        <v>192</v>
      </c>
      <c r="F10" s="5" t="s">
        <v>169</v>
      </c>
      <c r="G10" s="5" t="s">
        <v>142</v>
      </c>
      <c r="H10" s="5" t="s">
        <v>143</v>
      </c>
      <c r="I10" s="5" t="s">
        <v>43</v>
      </c>
      <c r="J10" s="5" t="s">
        <v>144</v>
      </c>
      <c r="K10" s="5" t="s">
        <v>193</v>
      </c>
      <c r="L10" s="5" t="s">
        <v>194</v>
      </c>
      <c r="M10" s="6" t="s">
        <v>104</v>
      </c>
      <c r="N10" s="6" t="s">
        <v>195</v>
      </c>
      <c r="O10" s="6" t="s">
        <v>196</v>
      </c>
    </row>
    <row r="11" spans="1:15" ht="25.5" customHeight="1">
      <c r="A11" s="5" t="s">
        <v>197</v>
      </c>
      <c r="B11" s="5" t="s">
        <v>137</v>
      </c>
      <c r="C11" s="5" t="s">
        <v>138</v>
      </c>
      <c r="D11" s="5" t="s">
        <v>198</v>
      </c>
      <c r="E11" s="5" t="s">
        <v>199</v>
      </c>
      <c r="F11" s="5" t="s">
        <v>200</v>
      </c>
      <c r="G11" s="5" t="s">
        <v>142</v>
      </c>
      <c r="H11" s="5" t="s">
        <v>201</v>
      </c>
      <c r="I11" s="5" t="s">
        <v>202</v>
      </c>
      <c r="J11" s="5" t="s">
        <v>144</v>
      </c>
      <c r="K11" s="5" t="s">
        <v>203</v>
      </c>
      <c r="L11" s="5" t="s">
        <v>204</v>
      </c>
      <c r="M11" s="6" t="s">
        <v>104</v>
      </c>
      <c r="N11" s="6"/>
      <c r="O11" s="6"/>
    </row>
    <row r="12" spans="1:15" ht="76.5" customHeight="1">
      <c r="A12" s="5" t="s">
        <v>205</v>
      </c>
      <c r="B12" s="5" t="s">
        <v>137</v>
      </c>
      <c r="C12" s="5" t="s">
        <v>138</v>
      </c>
      <c r="D12" s="5" t="s">
        <v>198</v>
      </c>
      <c r="E12" s="5" t="s">
        <v>206</v>
      </c>
      <c r="F12" s="5" t="s">
        <v>207</v>
      </c>
      <c r="G12" s="5" t="s">
        <v>142</v>
      </c>
      <c r="H12" s="5" t="s">
        <v>208</v>
      </c>
      <c r="I12" s="5" t="s">
        <v>202</v>
      </c>
      <c r="J12" s="5" t="s">
        <v>144</v>
      </c>
      <c r="K12" s="5" t="s">
        <v>209</v>
      </c>
      <c r="L12" s="5" t="s">
        <v>210</v>
      </c>
      <c r="M12" s="6" t="s">
        <v>211</v>
      </c>
      <c r="N12" s="6" t="s">
        <v>212</v>
      </c>
      <c r="O12" s="6" t="s">
        <v>213</v>
      </c>
    </row>
    <row r="13" spans="1:15" ht="114.75" customHeight="1">
      <c r="A13" s="5" t="s">
        <v>214</v>
      </c>
      <c r="B13" s="5" t="s">
        <v>137</v>
      </c>
      <c r="C13" s="5" t="s">
        <v>138</v>
      </c>
      <c r="D13" s="5" t="s">
        <v>215</v>
      </c>
      <c r="E13" s="5" t="s">
        <v>216</v>
      </c>
      <c r="F13" s="5" t="s">
        <v>150</v>
      </c>
      <c r="G13" s="5" t="s">
        <v>151</v>
      </c>
      <c r="H13" s="5" t="s">
        <v>152</v>
      </c>
      <c r="I13" s="5" t="s">
        <v>153</v>
      </c>
      <c r="J13" s="5" t="s">
        <v>144</v>
      </c>
      <c r="K13" s="5" t="s">
        <v>217</v>
      </c>
      <c r="L13" s="5" t="s">
        <v>218</v>
      </c>
      <c r="M13" s="6" t="s">
        <v>104</v>
      </c>
      <c r="N13" s="6"/>
      <c r="O13" s="6"/>
    </row>
    <row r="14" spans="1:15" ht="127.5" customHeight="1">
      <c r="A14" s="5" t="s">
        <v>219</v>
      </c>
      <c r="B14" s="5" t="s">
        <v>137</v>
      </c>
      <c r="C14" s="5" t="s">
        <v>138</v>
      </c>
      <c r="D14" s="5" t="s">
        <v>220</v>
      </c>
      <c r="E14" s="5" t="s">
        <v>221</v>
      </c>
      <c r="F14" s="5" t="s">
        <v>222</v>
      </c>
      <c r="G14" s="5" t="s">
        <v>223</v>
      </c>
      <c r="H14" s="5" t="s">
        <v>224</v>
      </c>
      <c r="I14" s="5" t="s">
        <v>225</v>
      </c>
      <c r="J14" s="5" t="s">
        <v>144</v>
      </c>
      <c r="K14" s="5" t="s">
        <v>226</v>
      </c>
      <c r="L14" s="5" t="s">
        <v>227</v>
      </c>
      <c r="M14" s="6" t="s">
        <v>104</v>
      </c>
      <c r="N14" s="6" t="s">
        <v>228</v>
      </c>
      <c r="O14" s="6" t="s">
        <v>229</v>
      </c>
    </row>
    <row r="15" spans="1:15" ht="51" customHeight="1">
      <c r="A15" s="5" t="s">
        <v>230</v>
      </c>
      <c r="B15" s="5" t="s">
        <v>137</v>
      </c>
      <c r="C15" s="5" t="s">
        <v>138</v>
      </c>
      <c r="D15" s="5" t="s">
        <v>198</v>
      </c>
      <c r="E15" s="5" t="s">
        <v>231</v>
      </c>
      <c r="F15" s="5" t="s">
        <v>175</v>
      </c>
      <c r="G15" s="5" t="s">
        <v>142</v>
      </c>
      <c r="H15" s="5" t="s">
        <v>143</v>
      </c>
      <c r="I15" s="5" t="s">
        <v>176</v>
      </c>
      <c r="J15" s="5" t="s">
        <v>144</v>
      </c>
      <c r="K15" s="5" t="s">
        <v>232</v>
      </c>
      <c r="L15" s="5" t="s">
        <v>233</v>
      </c>
      <c r="M15" s="6" t="s">
        <v>104</v>
      </c>
      <c r="N15" s="6" t="s">
        <v>234</v>
      </c>
      <c r="O15" s="6" t="s">
        <v>235</v>
      </c>
    </row>
    <row r="16" spans="1:15" ht="102" customHeight="1">
      <c r="A16" s="5" t="s">
        <v>236</v>
      </c>
      <c r="B16" s="5" t="s">
        <v>137</v>
      </c>
      <c r="C16" s="5" t="s">
        <v>138</v>
      </c>
      <c r="D16" s="5" t="s">
        <v>237</v>
      </c>
      <c r="E16" s="5" t="s">
        <v>238</v>
      </c>
      <c r="F16" s="5" t="s">
        <v>239</v>
      </c>
      <c r="G16" s="5" t="s">
        <v>223</v>
      </c>
      <c r="H16" s="5" t="s">
        <v>240</v>
      </c>
      <c r="I16" s="5" t="s">
        <v>51</v>
      </c>
      <c r="J16" s="5" t="s">
        <v>144</v>
      </c>
      <c r="K16" s="5" t="s">
        <v>188</v>
      </c>
      <c r="L16" s="5" t="s">
        <v>241</v>
      </c>
      <c r="M16" s="6" t="s">
        <v>104</v>
      </c>
      <c r="N16" s="6" t="s">
        <v>242</v>
      </c>
      <c r="O16" s="6" t="s">
        <v>243</v>
      </c>
    </row>
    <row r="17" spans="1:15" ht="51" customHeight="1">
      <c r="A17" s="5" t="s">
        <v>244</v>
      </c>
      <c r="B17" s="5" t="s">
        <v>245</v>
      </c>
      <c r="C17" s="5" t="s">
        <v>246</v>
      </c>
      <c r="D17" s="5" t="s">
        <v>247</v>
      </c>
      <c r="E17" s="5" t="s">
        <v>248</v>
      </c>
      <c r="F17" s="5"/>
      <c r="G17" s="5"/>
      <c r="H17" s="5"/>
      <c r="I17" s="5"/>
      <c r="J17" s="5" t="s">
        <v>249</v>
      </c>
      <c r="K17" s="5" t="s">
        <v>250</v>
      </c>
      <c r="L17" s="5" t="s">
        <v>251</v>
      </c>
      <c r="M17" s="6" t="s">
        <v>104</v>
      </c>
      <c r="N17" s="6"/>
      <c r="O17" s="6"/>
    </row>
    <row r="18" spans="1:15" ht="63.75" customHeight="1">
      <c r="A18" s="5" t="s">
        <v>252</v>
      </c>
      <c r="B18" s="5" t="s">
        <v>245</v>
      </c>
      <c r="C18" s="5" t="s">
        <v>246</v>
      </c>
      <c r="D18" s="5" t="s">
        <v>253</v>
      </c>
      <c r="E18" s="5" t="s">
        <v>248</v>
      </c>
      <c r="F18" s="5"/>
      <c r="G18" s="5"/>
      <c r="H18" s="5"/>
      <c r="I18" s="5"/>
      <c r="J18" s="5" t="s">
        <v>41</v>
      </c>
      <c r="K18" s="5" t="s">
        <v>254</v>
      </c>
      <c r="L18" s="5" t="s">
        <v>255</v>
      </c>
      <c r="M18" s="6" t="s">
        <v>104</v>
      </c>
      <c r="N18" s="6"/>
      <c r="O18" s="6"/>
    </row>
    <row r="19" spans="1:15" ht="76.5" customHeight="1">
      <c r="A19" s="5" t="s">
        <v>256</v>
      </c>
      <c r="B19" s="5" t="s">
        <v>245</v>
      </c>
      <c r="C19" s="5" t="s">
        <v>246</v>
      </c>
      <c r="D19" s="5" t="s">
        <v>247</v>
      </c>
      <c r="E19" s="5" t="s">
        <v>257</v>
      </c>
      <c r="F19" s="5"/>
      <c r="G19" s="5"/>
      <c r="H19" s="5"/>
      <c r="I19" s="5"/>
      <c r="J19" s="5" t="s">
        <v>102</v>
      </c>
      <c r="K19" s="5" t="s">
        <v>258</v>
      </c>
      <c r="L19" s="5" t="s">
        <v>259</v>
      </c>
      <c r="M19" s="6" t="s">
        <v>104</v>
      </c>
      <c r="N19" s="6"/>
      <c r="O19" s="6"/>
    </row>
    <row r="20" spans="1:15" ht="25.5" customHeight="1">
      <c r="A20" s="5" t="s">
        <v>260</v>
      </c>
      <c r="B20" s="5" t="s">
        <v>245</v>
      </c>
      <c r="C20" s="5" t="s">
        <v>246</v>
      </c>
      <c r="D20" s="5" t="s">
        <v>261</v>
      </c>
      <c r="E20" s="5" t="s">
        <v>262</v>
      </c>
      <c r="F20" s="5"/>
      <c r="G20" s="5"/>
      <c r="H20" s="5"/>
      <c r="I20" s="5"/>
      <c r="J20" s="5" t="s">
        <v>123</v>
      </c>
      <c r="K20" s="5" t="s">
        <v>263</v>
      </c>
      <c r="L20" s="5" t="s">
        <v>264</v>
      </c>
      <c r="M20" s="6" t="s">
        <v>104</v>
      </c>
      <c r="N20" s="6"/>
      <c r="O20" s="6"/>
    </row>
    <row r="21" spans="1:15" ht="191.25" customHeight="1">
      <c r="A21" s="5" t="s">
        <v>265</v>
      </c>
      <c r="B21" s="5" t="s">
        <v>245</v>
      </c>
      <c r="C21" s="5" t="s">
        <v>246</v>
      </c>
      <c r="D21" s="5" t="s">
        <v>266</v>
      </c>
      <c r="E21" s="5" t="s">
        <v>267</v>
      </c>
      <c r="F21" s="5"/>
      <c r="G21" s="5"/>
      <c r="H21" s="5"/>
      <c r="I21" s="5"/>
      <c r="J21" s="5" t="s">
        <v>144</v>
      </c>
      <c r="K21" s="5" t="s">
        <v>268</v>
      </c>
      <c r="L21" s="5" t="s">
        <v>269</v>
      </c>
      <c r="M21" s="6" t="s">
        <v>104</v>
      </c>
      <c r="N21" s="6" t="s">
        <v>270</v>
      </c>
      <c r="O21" s="6" t="s">
        <v>271</v>
      </c>
    </row>
    <row r="22" spans="1:15" ht="102" customHeight="1">
      <c r="A22" s="5" t="s">
        <v>272</v>
      </c>
      <c r="B22" s="5" t="s">
        <v>245</v>
      </c>
      <c r="C22" s="5" t="s">
        <v>246</v>
      </c>
      <c r="D22" s="5" t="s">
        <v>266</v>
      </c>
      <c r="E22" s="5" t="s">
        <v>273</v>
      </c>
      <c r="F22" s="5"/>
      <c r="G22" s="5"/>
      <c r="H22" s="5"/>
      <c r="I22" s="5"/>
      <c r="J22" s="5" t="s">
        <v>144</v>
      </c>
      <c r="K22" s="5" t="s">
        <v>274</v>
      </c>
      <c r="L22" s="5" t="s">
        <v>275</v>
      </c>
      <c r="M22" s="6" t="s">
        <v>104</v>
      </c>
      <c r="N22" s="6" t="s">
        <v>276</v>
      </c>
      <c r="O22" s="6" t="s">
        <v>271</v>
      </c>
    </row>
    <row r="23" spans="1:15" ht="25.5" customHeight="1">
      <c r="A23" s="5" t="s">
        <v>277</v>
      </c>
      <c r="B23" s="5" t="s">
        <v>278</v>
      </c>
      <c r="C23" s="5" t="s">
        <v>246</v>
      </c>
      <c r="D23" s="5" t="s">
        <v>279</v>
      </c>
      <c r="E23" s="5" t="s">
        <v>280</v>
      </c>
      <c r="F23" s="5"/>
      <c r="G23" s="5"/>
      <c r="H23" s="5"/>
      <c r="I23" s="5"/>
      <c r="J23" s="5" t="s">
        <v>281</v>
      </c>
      <c r="K23" s="5" t="s">
        <v>282</v>
      </c>
      <c r="L23" s="5" t="s">
        <v>283</v>
      </c>
      <c r="M23" s="6" t="s">
        <v>104</v>
      </c>
      <c r="N23" s="6"/>
      <c r="O23" s="6"/>
    </row>
    <row r="24" spans="1:15" ht="25.5" customHeight="1">
      <c r="A24" s="5" t="s">
        <v>284</v>
      </c>
      <c r="B24" s="5" t="s">
        <v>278</v>
      </c>
      <c r="C24" s="5" t="s">
        <v>246</v>
      </c>
      <c r="D24" s="5" t="s">
        <v>285</v>
      </c>
      <c r="E24" s="5" t="s">
        <v>280</v>
      </c>
      <c r="F24" s="5"/>
      <c r="G24" s="5"/>
      <c r="H24" s="5"/>
      <c r="I24" s="5"/>
      <c r="J24" s="5" t="s">
        <v>281</v>
      </c>
      <c r="K24" s="5" t="s">
        <v>286</v>
      </c>
      <c r="L24" s="5" t="s">
        <v>287</v>
      </c>
      <c r="M24" s="6" t="s">
        <v>104</v>
      </c>
      <c r="N24" s="6"/>
      <c r="O24" s="6"/>
    </row>
    <row r="25" spans="1:15" ht="63.75" customHeight="1">
      <c r="A25" s="5" t="s">
        <v>288</v>
      </c>
      <c r="B25" s="5" t="s">
        <v>278</v>
      </c>
      <c r="C25" s="5" t="s">
        <v>246</v>
      </c>
      <c r="D25" s="5" t="s">
        <v>289</v>
      </c>
      <c r="E25" s="5" t="s">
        <v>290</v>
      </c>
      <c r="F25" s="5"/>
      <c r="G25" s="5"/>
      <c r="H25" s="5"/>
      <c r="I25" s="5"/>
      <c r="J25" s="5" t="s">
        <v>291</v>
      </c>
      <c r="K25" s="5" t="s">
        <v>292</v>
      </c>
      <c r="L25" s="5" t="s">
        <v>293</v>
      </c>
      <c r="M25" s="6" t="s">
        <v>104</v>
      </c>
      <c r="N25" s="6"/>
      <c r="O25" s="6"/>
    </row>
    <row r="26" spans="1:15" ht="38.25" customHeight="1">
      <c r="A26" s="5" t="s">
        <v>294</v>
      </c>
      <c r="B26" s="5" t="s">
        <v>278</v>
      </c>
      <c r="C26" s="5" t="s">
        <v>246</v>
      </c>
      <c r="D26" s="5" t="s">
        <v>295</v>
      </c>
      <c r="E26" s="5" t="s">
        <v>296</v>
      </c>
      <c r="F26" s="5"/>
      <c r="G26" s="5"/>
      <c r="H26" s="5"/>
      <c r="I26" s="5"/>
      <c r="J26" s="5" t="s">
        <v>297</v>
      </c>
      <c r="K26" s="5" t="s">
        <v>298</v>
      </c>
      <c r="L26" s="5" t="s">
        <v>299</v>
      </c>
      <c r="M26" s="6" t="s">
        <v>104</v>
      </c>
      <c r="N26" s="6"/>
      <c r="O26" s="6"/>
    </row>
    <row r="27" spans="1:15" ht="51" customHeight="1">
      <c r="A27" s="5" t="s">
        <v>300</v>
      </c>
      <c r="B27" s="5" t="s">
        <v>278</v>
      </c>
      <c r="C27" s="5" t="s">
        <v>246</v>
      </c>
      <c r="D27" s="5" t="s">
        <v>301</v>
      </c>
      <c r="E27" s="5" t="s">
        <v>279</v>
      </c>
      <c r="F27" s="5"/>
      <c r="G27" s="5"/>
      <c r="H27" s="5"/>
      <c r="I27" s="5"/>
      <c r="J27" s="5" t="s">
        <v>144</v>
      </c>
      <c r="K27" s="5" t="s">
        <v>302</v>
      </c>
      <c r="L27" s="5" t="s">
        <v>303</v>
      </c>
      <c r="M27" s="6" t="s">
        <v>104</v>
      </c>
      <c r="N27" s="6"/>
      <c r="O27" s="6"/>
    </row>
    <row r="28" spans="1:15" ht="25.5" customHeight="1">
      <c r="A28" s="5" t="s">
        <v>304</v>
      </c>
      <c r="B28" s="5" t="s">
        <v>278</v>
      </c>
      <c r="C28" s="5" t="s">
        <v>246</v>
      </c>
      <c r="D28" s="5" t="s">
        <v>301</v>
      </c>
      <c r="E28" s="5" t="s">
        <v>305</v>
      </c>
      <c r="F28" s="5"/>
      <c r="G28" s="5"/>
      <c r="H28" s="5"/>
      <c r="I28" s="5"/>
      <c r="J28" s="5" t="s">
        <v>281</v>
      </c>
      <c r="K28" s="5" t="s">
        <v>282</v>
      </c>
      <c r="L28" s="5" t="s">
        <v>306</v>
      </c>
      <c r="M28" s="6" t="s">
        <v>104</v>
      </c>
      <c r="N28" s="6"/>
      <c r="O28" s="6"/>
    </row>
    <row r="29" spans="1:15">
      <c r="A29" s="5" t="s">
        <v>307</v>
      </c>
      <c r="B29" s="5" t="s">
        <v>278</v>
      </c>
      <c r="C29" s="5" t="s">
        <v>246</v>
      </c>
      <c r="D29" s="5" t="s">
        <v>308</v>
      </c>
      <c r="E29" s="5" t="s">
        <v>309</v>
      </c>
      <c r="F29" s="5"/>
      <c r="G29" s="5"/>
      <c r="H29" s="5"/>
      <c r="I29" s="5"/>
      <c r="J29" s="5" t="s">
        <v>164</v>
      </c>
      <c r="K29" s="5" t="s">
        <v>310</v>
      </c>
      <c r="L29" s="5" t="s">
        <v>311</v>
      </c>
      <c r="M29" s="6" t="s">
        <v>104</v>
      </c>
      <c r="N29" s="6"/>
      <c r="O29" s="6"/>
    </row>
    <row r="30" spans="1:15" ht="25.5" customHeight="1">
      <c r="A30" s="5" t="s">
        <v>312</v>
      </c>
      <c r="B30" s="5" t="s">
        <v>278</v>
      </c>
      <c r="C30" s="5" t="s">
        <v>246</v>
      </c>
      <c r="D30" s="5" t="s">
        <v>313</v>
      </c>
      <c r="E30" s="5" t="s">
        <v>296</v>
      </c>
      <c r="F30" s="5"/>
      <c r="G30" s="5"/>
      <c r="H30" s="5"/>
      <c r="I30" s="5"/>
      <c r="J30" s="5" t="s">
        <v>144</v>
      </c>
      <c r="K30" s="5" t="s">
        <v>314</v>
      </c>
      <c r="L30" s="5" t="s">
        <v>184</v>
      </c>
      <c r="M30" s="6" t="s">
        <v>104</v>
      </c>
      <c r="N30" s="6"/>
      <c r="O30" s="6"/>
    </row>
    <row r="31" spans="1:15" ht="51" customHeight="1">
      <c r="A31" s="5" t="s">
        <v>315</v>
      </c>
      <c r="B31" s="5" t="s">
        <v>278</v>
      </c>
      <c r="C31" s="5" t="s">
        <v>246</v>
      </c>
      <c r="D31" s="5" t="s">
        <v>316</v>
      </c>
      <c r="E31" s="5" t="s">
        <v>317</v>
      </c>
      <c r="F31" s="5"/>
      <c r="G31" s="5"/>
      <c r="H31" s="5"/>
      <c r="I31" s="5"/>
      <c r="J31" s="5" t="s">
        <v>318</v>
      </c>
      <c r="K31" s="5" t="s">
        <v>319</v>
      </c>
      <c r="L31" s="5" t="s">
        <v>320</v>
      </c>
      <c r="M31" s="6" t="s">
        <v>104</v>
      </c>
      <c r="N31" s="6"/>
      <c r="O31" s="6"/>
    </row>
    <row r="32" spans="1:15" ht="38.25" customHeight="1">
      <c r="A32" s="5" t="s">
        <v>321</v>
      </c>
      <c r="B32" s="5" t="s">
        <v>278</v>
      </c>
      <c r="C32" s="5" t="s">
        <v>246</v>
      </c>
      <c r="D32" s="5" t="s">
        <v>261</v>
      </c>
      <c r="E32" s="5" t="s">
        <v>322</v>
      </c>
      <c r="F32" s="5"/>
      <c r="G32" s="5"/>
      <c r="H32" s="5"/>
      <c r="I32" s="5"/>
      <c r="J32" s="5" t="s">
        <v>323</v>
      </c>
      <c r="K32" s="5" t="s">
        <v>324</v>
      </c>
      <c r="L32" s="5" t="s">
        <v>325</v>
      </c>
      <c r="M32" s="6" t="s">
        <v>104</v>
      </c>
      <c r="N32" s="6"/>
      <c r="O32" s="6"/>
    </row>
    <row r="33" spans="1:15" ht="38.25" customHeight="1">
      <c r="A33" s="5" t="s">
        <v>326</v>
      </c>
      <c r="B33" s="5" t="s">
        <v>278</v>
      </c>
      <c r="C33" s="5" t="s">
        <v>246</v>
      </c>
      <c r="D33" s="5" t="s">
        <v>261</v>
      </c>
      <c r="E33" s="5" t="s">
        <v>327</v>
      </c>
      <c r="F33" s="5"/>
      <c r="G33" s="5"/>
      <c r="H33" s="5"/>
      <c r="I33" s="5"/>
      <c r="J33" s="5" t="s">
        <v>144</v>
      </c>
      <c r="K33" s="5" t="s">
        <v>328</v>
      </c>
      <c r="L33" s="5" t="s">
        <v>329</v>
      </c>
      <c r="M33" s="6" t="s">
        <v>104</v>
      </c>
      <c r="N33" s="6"/>
      <c r="O33" s="6"/>
    </row>
    <row r="34" spans="1:15" ht="25.5" customHeight="1">
      <c r="A34" s="5" t="s">
        <v>330</v>
      </c>
      <c r="B34" s="5" t="s">
        <v>278</v>
      </c>
      <c r="C34" s="5" t="s">
        <v>246</v>
      </c>
      <c r="D34" s="5" t="s">
        <v>331</v>
      </c>
      <c r="E34" s="5" t="s">
        <v>296</v>
      </c>
      <c r="F34" s="5"/>
      <c r="G34" s="5"/>
      <c r="H34" s="5"/>
      <c r="I34" s="5"/>
      <c r="J34" s="5" t="s">
        <v>332</v>
      </c>
      <c r="K34" s="5" t="s">
        <v>333</v>
      </c>
      <c r="L34" s="5" t="s">
        <v>334</v>
      </c>
      <c r="M34" s="6" t="s">
        <v>104</v>
      </c>
      <c r="N34" s="6"/>
      <c r="O34" s="6"/>
    </row>
    <row r="35" spans="1:15" ht="89.25" customHeight="1">
      <c r="A35" s="5" t="s">
        <v>335</v>
      </c>
      <c r="B35" s="5" t="s">
        <v>278</v>
      </c>
      <c r="C35" s="5" t="s">
        <v>246</v>
      </c>
      <c r="D35" s="5" t="s">
        <v>336</v>
      </c>
      <c r="E35" s="5" t="s">
        <v>337</v>
      </c>
      <c r="F35" s="5"/>
      <c r="G35" s="5"/>
      <c r="H35" s="5"/>
      <c r="I35" s="5"/>
      <c r="J35" s="5" t="s">
        <v>144</v>
      </c>
      <c r="K35" s="5" t="s">
        <v>338</v>
      </c>
      <c r="L35" s="5" t="s">
        <v>339</v>
      </c>
      <c r="M35" s="6" t="s">
        <v>104</v>
      </c>
      <c r="N35" s="6"/>
      <c r="O35" s="6"/>
    </row>
    <row r="36" spans="1:15" ht="102" customHeight="1">
      <c r="A36" s="5" t="s">
        <v>340</v>
      </c>
      <c r="B36" s="5" t="s">
        <v>278</v>
      </c>
      <c r="C36" s="5" t="s">
        <v>246</v>
      </c>
      <c r="D36" s="5" t="s">
        <v>301</v>
      </c>
      <c r="E36" s="5" t="s">
        <v>341</v>
      </c>
      <c r="F36" s="5"/>
      <c r="G36" s="5"/>
      <c r="H36" s="5"/>
      <c r="I36" s="5"/>
      <c r="J36" s="5" t="s">
        <v>144</v>
      </c>
      <c r="K36" s="5" t="s">
        <v>342</v>
      </c>
      <c r="L36" s="5" t="s">
        <v>343</v>
      </c>
      <c r="M36" s="6" t="s">
        <v>104</v>
      </c>
      <c r="N36" s="6"/>
      <c r="O36" s="6"/>
    </row>
    <row r="37" spans="1:15" ht="76.5" customHeight="1">
      <c r="A37" s="5" t="s">
        <v>344</v>
      </c>
      <c r="B37" s="5" t="s">
        <v>278</v>
      </c>
      <c r="C37" s="5" t="s">
        <v>246</v>
      </c>
      <c r="D37" s="5" t="s">
        <v>345</v>
      </c>
      <c r="E37" s="5" t="s">
        <v>346</v>
      </c>
      <c r="F37" s="5"/>
      <c r="G37" s="5"/>
      <c r="H37" s="5"/>
      <c r="I37" s="5"/>
      <c r="J37" s="5" t="s">
        <v>144</v>
      </c>
      <c r="K37" s="5" t="s">
        <v>347</v>
      </c>
      <c r="L37" s="5" t="s">
        <v>348</v>
      </c>
      <c r="M37" s="6" t="s">
        <v>211</v>
      </c>
      <c r="N37" s="6" t="s">
        <v>349</v>
      </c>
      <c r="O37" s="6" t="s">
        <v>350</v>
      </c>
    </row>
    <row r="38" spans="1:15" ht="89.25" customHeight="1">
      <c r="A38" s="5" t="s">
        <v>351</v>
      </c>
      <c r="B38" s="5" t="s">
        <v>278</v>
      </c>
      <c r="C38" s="5" t="s">
        <v>246</v>
      </c>
      <c r="D38" s="5" t="s">
        <v>352</v>
      </c>
      <c r="E38" s="5" t="s">
        <v>353</v>
      </c>
      <c r="F38" s="5"/>
      <c r="G38" s="5"/>
      <c r="H38" s="5"/>
      <c r="I38" s="5"/>
      <c r="J38" s="5" t="s">
        <v>144</v>
      </c>
      <c r="K38" s="5" t="s">
        <v>354</v>
      </c>
      <c r="L38" s="5" t="s">
        <v>146</v>
      </c>
      <c r="M38" s="6" t="s">
        <v>104</v>
      </c>
      <c r="N38" s="6"/>
      <c r="O38" s="6"/>
    </row>
    <row r="39" spans="1:15" ht="89.25" customHeight="1">
      <c r="A39" s="5" t="s">
        <v>355</v>
      </c>
      <c r="B39" s="5" t="s">
        <v>278</v>
      </c>
      <c r="C39" s="5" t="s">
        <v>246</v>
      </c>
      <c r="D39" s="5" t="s">
        <v>301</v>
      </c>
      <c r="E39" s="5" t="s">
        <v>356</v>
      </c>
      <c r="F39" s="5"/>
      <c r="G39" s="5"/>
      <c r="H39" s="5"/>
      <c r="I39" s="5"/>
      <c r="J39" s="5" t="s">
        <v>144</v>
      </c>
      <c r="K39" s="5" t="s">
        <v>357</v>
      </c>
      <c r="L39" s="5" t="s">
        <v>358</v>
      </c>
      <c r="M39" s="6" t="s">
        <v>104</v>
      </c>
      <c r="N39" s="6"/>
      <c r="O39" s="6"/>
    </row>
    <row r="40" spans="1:15" ht="114.75" customHeight="1">
      <c r="A40" s="5" t="s">
        <v>359</v>
      </c>
      <c r="B40" s="5" t="s">
        <v>278</v>
      </c>
      <c r="C40" s="5" t="s">
        <v>246</v>
      </c>
      <c r="D40" s="5" t="s">
        <v>301</v>
      </c>
      <c r="E40" s="5" t="s">
        <v>360</v>
      </c>
      <c r="F40" s="5"/>
      <c r="G40" s="5"/>
      <c r="H40" s="5"/>
      <c r="I40" s="5"/>
      <c r="J40" s="5" t="s">
        <v>144</v>
      </c>
      <c r="K40" s="5" t="s">
        <v>361</v>
      </c>
      <c r="L40" s="5" t="s">
        <v>334</v>
      </c>
      <c r="M40" s="6" t="s">
        <v>104</v>
      </c>
      <c r="N40" s="6"/>
      <c r="O40" s="6"/>
    </row>
    <row r="41" spans="1:15" ht="25.5" customHeight="1">
      <c r="A41" s="5" t="s">
        <v>362</v>
      </c>
      <c r="B41" s="5" t="s">
        <v>278</v>
      </c>
      <c r="C41" s="5" t="s">
        <v>246</v>
      </c>
      <c r="D41" s="5" t="s">
        <v>301</v>
      </c>
      <c r="E41" s="5" t="s">
        <v>363</v>
      </c>
      <c r="F41" s="5"/>
      <c r="G41" s="5"/>
      <c r="H41" s="5"/>
      <c r="I41" s="5"/>
      <c r="J41" s="5" t="s">
        <v>144</v>
      </c>
      <c r="K41" s="5" t="s">
        <v>364</v>
      </c>
      <c r="L41" s="5" t="s">
        <v>365</v>
      </c>
      <c r="M41" s="6" t="s">
        <v>104</v>
      </c>
      <c r="N41" s="6"/>
      <c r="O41" s="6"/>
    </row>
    <row r="42" spans="1:15" ht="63.75" customHeight="1">
      <c r="A42" s="5" t="s">
        <v>366</v>
      </c>
      <c r="B42" s="5" t="s">
        <v>278</v>
      </c>
      <c r="C42" s="5" t="s">
        <v>246</v>
      </c>
      <c r="D42" s="5" t="s">
        <v>345</v>
      </c>
      <c r="E42" s="5" t="s">
        <v>367</v>
      </c>
      <c r="F42" s="5"/>
      <c r="G42" s="5"/>
      <c r="H42" s="5"/>
      <c r="I42" s="5"/>
      <c r="J42" s="5" t="s">
        <v>144</v>
      </c>
      <c r="K42" s="5" t="s">
        <v>368</v>
      </c>
      <c r="L42" s="5" t="s">
        <v>369</v>
      </c>
      <c r="M42" s="6" t="s">
        <v>104</v>
      </c>
      <c r="N42" s="6"/>
      <c r="O42" s="6"/>
    </row>
    <row r="43" spans="1:15" ht="25.5" customHeight="1">
      <c r="A43" s="5" t="s">
        <v>370</v>
      </c>
      <c r="B43" s="5" t="s">
        <v>278</v>
      </c>
      <c r="C43" s="5" t="s">
        <v>246</v>
      </c>
      <c r="D43" s="5" t="s">
        <v>336</v>
      </c>
      <c r="E43" s="5" t="s">
        <v>280</v>
      </c>
      <c r="F43" s="5"/>
      <c r="G43" s="5"/>
      <c r="H43" s="5"/>
      <c r="I43" s="5"/>
      <c r="J43" s="5" t="s">
        <v>144</v>
      </c>
      <c r="K43" s="5" t="s">
        <v>371</v>
      </c>
      <c r="L43" s="5" t="s">
        <v>372</v>
      </c>
      <c r="M43" s="6" t="s">
        <v>104</v>
      </c>
      <c r="N43" s="6"/>
      <c r="O43" s="6"/>
    </row>
    <row r="44" spans="1:15" ht="102" customHeight="1">
      <c r="A44" s="5" t="s">
        <v>373</v>
      </c>
      <c r="B44" s="5" t="s">
        <v>278</v>
      </c>
      <c r="C44" s="5" t="s">
        <v>246</v>
      </c>
      <c r="D44" s="5" t="s">
        <v>301</v>
      </c>
      <c r="E44" s="5" t="s">
        <v>374</v>
      </c>
      <c r="F44" s="5"/>
      <c r="G44" s="5"/>
      <c r="H44" s="5"/>
      <c r="I44" s="5"/>
      <c r="J44" s="5" t="s">
        <v>144</v>
      </c>
      <c r="K44" s="5" t="s">
        <v>375</v>
      </c>
      <c r="L44" s="5" t="s">
        <v>376</v>
      </c>
      <c r="M44" s="6" t="s">
        <v>104</v>
      </c>
      <c r="N44" s="6"/>
      <c r="O44" s="6"/>
    </row>
    <row r="45" spans="1:15" ht="153" customHeight="1">
      <c r="A45" s="5" t="s">
        <v>377</v>
      </c>
      <c r="B45" s="5" t="s">
        <v>278</v>
      </c>
      <c r="C45" s="5" t="s">
        <v>246</v>
      </c>
      <c r="D45" s="5" t="s">
        <v>345</v>
      </c>
      <c r="E45" s="5" t="s">
        <v>378</v>
      </c>
      <c r="F45" s="5"/>
      <c r="G45" s="5"/>
      <c r="H45" s="5"/>
      <c r="I45" s="5"/>
      <c r="J45" s="5" t="s">
        <v>144</v>
      </c>
      <c r="K45" s="5" t="s">
        <v>379</v>
      </c>
      <c r="L45" s="5" t="s">
        <v>166</v>
      </c>
      <c r="M45" s="6" t="s">
        <v>104</v>
      </c>
      <c r="N45" s="6"/>
      <c r="O45" s="6"/>
    </row>
    <row r="46" spans="1:15" ht="76.5" customHeight="1">
      <c r="A46" s="5" t="s">
        <v>380</v>
      </c>
      <c r="B46" s="5" t="s">
        <v>278</v>
      </c>
      <c r="C46" s="5" t="s">
        <v>246</v>
      </c>
      <c r="D46" s="5" t="s">
        <v>301</v>
      </c>
      <c r="E46" s="5" t="s">
        <v>381</v>
      </c>
      <c r="F46" s="5"/>
      <c r="G46" s="5"/>
      <c r="H46" s="5"/>
      <c r="I46" s="5"/>
      <c r="J46" s="5" t="s">
        <v>144</v>
      </c>
      <c r="K46" s="5" t="s">
        <v>382</v>
      </c>
      <c r="L46" s="5" t="s">
        <v>383</v>
      </c>
      <c r="M46" s="6" t="s">
        <v>104</v>
      </c>
      <c r="N46" s="6"/>
      <c r="O46" s="6"/>
    </row>
    <row r="47" spans="1:15" ht="25.5" customHeight="1">
      <c r="A47" s="5" t="s">
        <v>384</v>
      </c>
      <c r="B47" s="5" t="s">
        <v>278</v>
      </c>
      <c r="C47" s="5" t="s">
        <v>246</v>
      </c>
      <c r="D47" s="5" t="s">
        <v>301</v>
      </c>
      <c r="E47" s="5" t="s">
        <v>280</v>
      </c>
      <c r="F47" s="5"/>
      <c r="G47" s="5"/>
      <c r="H47" s="5"/>
      <c r="I47" s="5"/>
      <c r="J47" s="5" t="s">
        <v>281</v>
      </c>
      <c r="K47" s="5" t="s">
        <v>282</v>
      </c>
      <c r="L47" s="5" t="s">
        <v>385</v>
      </c>
      <c r="M47" s="6" t="s">
        <v>104</v>
      </c>
      <c r="N47" s="6"/>
      <c r="O47" s="6"/>
    </row>
    <row r="48" spans="1:15" ht="102" customHeight="1">
      <c r="A48" s="5" t="s">
        <v>386</v>
      </c>
      <c r="B48" s="5" t="s">
        <v>278</v>
      </c>
      <c r="C48" s="5" t="s">
        <v>387</v>
      </c>
      <c r="D48" s="5" t="s">
        <v>301</v>
      </c>
      <c r="E48" s="5" t="s">
        <v>363</v>
      </c>
      <c r="F48" s="5"/>
      <c r="G48" s="5"/>
      <c r="H48" s="5"/>
      <c r="I48" s="5"/>
      <c r="J48" s="5" t="s">
        <v>144</v>
      </c>
      <c r="K48" s="5" t="s">
        <v>388</v>
      </c>
      <c r="L48" s="5" t="s">
        <v>389</v>
      </c>
      <c r="M48" s="6" t="s">
        <v>104</v>
      </c>
      <c r="N48" s="6"/>
      <c r="O48" s="6"/>
    </row>
    <row r="49" spans="1:15" ht="76.5" customHeight="1">
      <c r="A49" s="5" t="s">
        <v>390</v>
      </c>
      <c r="B49" s="5" t="s">
        <v>391</v>
      </c>
      <c r="C49" s="5"/>
      <c r="D49" s="5" t="s">
        <v>331</v>
      </c>
      <c r="E49" s="5" t="s">
        <v>392</v>
      </c>
      <c r="F49" s="5" t="s">
        <v>393</v>
      </c>
      <c r="G49" s="5" t="s">
        <v>142</v>
      </c>
      <c r="H49" s="5" t="s">
        <v>394</v>
      </c>
      <c r="I49" s="5" t="s">
        <v>83</v>
      </c>
      <c r="J49" s="5" t="s">
        <v>144</v>
      </c>
      <c r="K49" s="5" t="s">
        <v>395</v>
      </c>
      <c r="L49" s="5" t="s">
        <v>396</v>
      </c>
      <c r="M49" s="6" t="s">
        <v>104</v>
      </c>
      <c r="N49" s="6"/>
      <c r="O49" s="6"/>
    </row>
    <row r="50" spans="1:15" ht="140.25" customHeight="1">
      <c r="A50" s="5" t="s">
        <v>397</v>
      </c>
      <c r="B50" s="5" t="s">
        <v>391</v>
      </c>
      <c r="C50" s="5" t="s">
        <v>246</v>
      </c>
      <c r="D50" s="5" t="s">
        <v>398</v>
      </c>
      <c r="E50" s="5" t="s">
        <v>399</v>
      </c>
      <c r="F50" s="5" t="s">
        <v>400</v>
      </c>
      <c r="G50" s="5" t="s">
        <v>142</v>
      </c>
      <c r="H50" s="5" t="s">
        <v>394</v>
      </c>
      <c r="I50" s="5"/>
      <c r="J50" s="5" t="s">
        <v>144</v>
      </c>
      <c r="K50" s="5" t="s">
        <v>401</v>
      </c>
      <c r="L50" s="5" t="s">
        <v>402</v>
      </c>
      <c r="M50" s="6" t="s">
        <v>104</v>
      </c>
      <c r="N50" s="6"/>
      <c r="O50" s="6"/>
    </row>
    <row r="51" spans="1:15" ht="63.75" customHeight="1">
      <c r="A51" s="5" t="s">
        <v>403</v>
      </c>
      <c r="B51" s="5" t="s">
        <v>391</v>
      </c>
      <c r="C51" s="5" t="s">
        <v>246</v>
      </c>
      <c r="D51" s="5" t="s">
        <v>404</v>
      </c>
      <c r="E51" s="5" t="s">
        <v>405</v>
      </c>
      <c r="F51" s="5" t="s">
        <v>406</v>
      </c>
      <c r="G51" s="5" t="s">
        <v>151</v>
      </c>
      <c r="H51" s="5" t="s">
        <v>407</v>
      </c>
      <c r="I51" s="5"/>
      <c r="J51" s="5" t="s">
        <v>408</v>
      </c>
      <c r="K51" s="5" t="s">
        <v>409</v>
      </c>
      <c r="L51" s="5" t="s">
        <v>410</v>
      </c>
      <c r="M51" s="6" t="s">
        <v>104</v>
      </c>
      <c r="N51" s="6"/>
      <c r="O51" s="6"/>
    </row>
    <row r="52" spans="1:15" ht="76.5" customHeight="1">
      <c r="A52" s="5" t="s">
        <v>411</v>
      </c>
      <c r="B52" s="5" t="s">
        <v>391</v>
      </c>
      <c r="C52" s="5" t="s">
        <v>246</v>
      </c>
      <c r="D52" s="5" t="s">
        <v>412</v>
      </c>
      <c r="E52" s="5" t="s">
        <v>413</v>
      </c>
      <c r="F52" s="5" t="s">
        <v>414</v>
      </c>
      <c r="G52" s="5" t="s">
        <v>142</v>
      </c>
      <c r="H52" s="5" t="s">
        <v>407</v>
      </c>
      <c r="I52" s="5"/>
      <c r="J52" s="5" t="s">
        <v>281</v>
      </c>
      <c r="K52" s="5" t="s">
        <v>415</v>
      </c>
      <c r="L52" s="5" t="s">
        <v>416</v>
      </c>
      <c r="M52" s="6" t="s">
        <v>104</v>
      </c>
      <c r="N52" s="6"/>
      <c r="O52" s="6"/>
    </row>
    <row r="53" spans="1:15" ht="38.25" customHeight="1">
      <c r="A53" s="5" t="s">
        <v>417</v>
      </c>
      <c r="B53" s="5" t="s">
        <v>391</v>
      </c>
      <c r="C53" s="5" t="s">
        <v>246</v>
      </c>
      <c r="D53" s="5" t="s">
        <v>418</v>
      </c>
      <c r="E53" s="5" t="s">
        <v>419</v>
      </c>
      <c r="F53" s="5" t="s">
        <v>420</v>
      </c>
      <c r="G53" s="5" t="s">
        <v>421</v>
      </c>
      <c r="H53" s="5" t="s">
        <v>422</v>
      </c>
      <c r="I53" s="5"/>
      <c r="J53" s="5" t="s">
        <v>123</v>
      </c>
      <c r="K53" s="5" t="s">
        <v>423</v>
      </c>
      <c r="L53" s="5" t="s">
        <v>424</v>
      </c>
      <c r="M53" s="6" t="s">
        <v>104</v>
      </c>
      <c r="N53" s="6"/>
      <c r="O53" s="6"/>
    </row>
    <row r="54" spans="1:15" ht="63.75" customHeight="1">
      <c r="A54" s="5" t="s">
        <v>425</v>
      </c>
      <c r="B54" s="5" t="s">
        <v>391</v>
      </c>
      <c r="C54" s="5" t="s">
        <v>246</v>
      </c>
      <c r="D54" s="5" t="s">
        <v>148</v>
      </c>
      <c r="E54" s="5" t="s">
        <v>426</v>
      </c>
      <c r="F54" s="5" t="s">
        <v>427</v>
      </c>
      <c r="G54" s="5" t="s">
        <v>142</v>
      </c>
      <c r="H54" s="5" t="s">
        <v>407</v>
      </c>
      <c r="I54" s="5"/>
      <c r="J54" s="5" t="s">
        <v>249</v>
      </c>
      <c r="K54" s="5" t="s">
        <v>428</v>
      </c>
      <c r="L54" s="5" t="s">
        <v>429</v>
      </c>
      <c r="M54" s="6" t="s">
        <v>104</v>
      </c>
      <c r="N54" s="6"/>
      <c r="O54" s="6"/>
    </row>
    <row r="55" spans="1:15" ht="25.5" customHeight="1">
      <c r="A55" s="5" t="s">
        <v>430</v>
      </c>
      <c r="B55" s="5" t="s">
        <v>391</v>
      </c>
      <c r="C55" s="5" t="s">
        <v>246</v>
      </c>
      <c r="D55" s="5" t="s">
        <v>431</v>
      </c>
      <c r="E55" s="5" t="s">
        <v>432</v>
      </c>
      <c r="F55" s="5" t="s">
        <v>433</v>
      </c>
      <c r="G55" s="5" t="s">
        <v>142</v>
      </c>
      <c r="H55" s="5" t="s">
        <v>407</v>
      </c>
      <c r="I55" s="5"/>
      <c r="J55" s="5" t="s">
        <v>434</v>
      </c>
      <c r="K55" s="5" t="s">
        <v>435</v>
      </c>
      <c r="L55" s="5" t="s">
        <v>343</v>
      </c>
      <c r="M55" s="6" t="s">
        <v>104</v>
      </c>
      <c r="N55" s="6"/>
      <c r="O55" s="6"/>
    </row>
    <row r="56" spans="1:15" ht="38.25" customHeight="1">
      <c r="A56" s="5" t="s">
        <v>436</v>
      </c>
      <c r="B56" s="5" t="s">
        <v>391</v>
      </c>
      <c r="C56" s="5" t="s">
        <v>246</v>
      </c>
      <c r="D56" s="5" t="s">
        <v>437</v>
      </c>
      <c r="E56" s="5" t="s">
        <v>438</v>
      </c>
      <c r="F56" s="5" t="s">
        <v>414</v>
      </c>
      <c r="G56" s="5" t="s">
        <v>142</v>
      </c>
      <c r="H56" s="5" t="s">
        <v>407</v>
      </c>
      <c r="I56" s="5"/>
      <c r="J56" s="5" t="s">
        <v>297</v>
      </c>
      <c r="K56" s="5" t="s">
        <v>439</v>
      </c>
      <c r="L56" s="5" t="s">
        <v>440</v>
      </c>
      <c r="M56" s="6" t="s">
        <v>104</v>
      </c>
      <c r="N56" s="6"/>
      <c r="O56" s="6"/>
    </row>
    <row r="57" spans="1:15" ht="25.5" customHeight="1">
      <c r="A57" s="5" t="s">
        <v>441</v>
      </c>
      <c r="B57" s="5" t="s">
        <v>391</v>
      </c>
      <c r="C57" s="5" t="s">
        <v>246</v>
      </c>
      <c r="D57" s="5" t="s">
        <v>442</v>
      </c>
      <c r="E57" s="5" t="s">
        <v>443</v>
      </c>
      <c r="F57" s="5" t="s">
        <v>444</v>
      </c>
      <c r="G57" s="5" t="s">
        <v>421</v>
      </c>
      <c r="H57" s="5" t="s">
        <v>407</v>
      </c>
      <c r="I57" s="5" t="s">
        <v>83</v>
      </c>
      <c r="J57" s="5" t="s">
        <v>144</v>
      </c>
      <c r="K57" s="5" t="s">
        <v>445</v>
      </c>
      <c r="L57" s="5" t="s">
        <v>446</v>
      </c>
      <c r="M57" s="6" t="s">
        <v>104</v>
      </c>
      <c r="N57" s="6"/>
      <c r="O57" s="6"/>
    </row>
    <row r="58" spans="1:15" ht="89.25" customHeight="1">
      <c r="A58" s="5" t="s">
        <v>447</v>
      </c>
      <c r="B58" s="5" t="s">
        <v>391</v>
      </c>
      <c r="C58" s="5" t="s">
        <v>246</v>
      </c>
      <c r="D58" s="5" t="s">
        <v>442</v>
      </c>
      <c r="E58" s="5" t="s">
        <v>405</v>
      </c>
      <c r="F58" s="5" t="s">
        <v>444</v>
      </c>
      <c r="G58" s="5" t="s">
        <v>421</v>
      </c>
      <c r="H58" s="5" t="s">
        <v>407</v>
      </c>
      <c r="I58" s="5" t="s">
        <v>83</v>
      </c>
      <c r="J58" s="5" t="s">
        <v>164</v>
      </c>
      <c r="K58" s="5" t="s">
        <v>448</v>
      </c>
      <c r="L58" s="5" t="s">
        <v>449</v>
      </c>
      <c r="M58" s="6" t="s">
        <v>104</v>
      </c>
      <c r="N58" s="6"/>
      <c r="O58" s="6"/>
    </row>
    <row r="59" spans="1:15" ht="38.25" customHeight="1">
      <c r="A59" s="5" t="s">
        <v>450</v>
      </c>
      <c r="B59" s="5" t="s">
        <v>391</v>
      </c>
      <c r="C59" s="5" t="s">
        <v>246</v>
      </c>
      <c r="D59" s="5" t="s">
        <v>451</v>
      </c>
      <c r="E59" s="5" t="s">
        <v>452</v>
      </c>
      <c r="F59" s="5" t="s">
        <v>453</v>
      </c>
      <c r="G59" s="5" t="s">
        <v>142</v>
      </c>
      <c r="H59" s="5" t="s">
        <v>208</v>
      </c>
      <c r="I59" s="5"/>
      <c r="J59" s="5" t="s">
        <v>164</v>
      </c>
      <c r="K59" s="5" t="s">
        <v>454</v>
      </c>
      <c r="L59" s="5" t="s">
        <v>369</v>
      </c>
      <c r="M59" s="6" t="s">
        <v>104</v>
      </c>
      <c r="N59" s="6"/>
      <c r="O59" s="6"/>
    </row>
    <row r="60" spans="1:15" ht="51" customHeight="1">
      <c r="A60" s="5" t="s">
        <v>455</v>
      </c>
      <c r="B60" s="5" t="s">
        <v>391</v>
      </c>
      <c r="C60" s="5" t="s">
        <v>246</v>
      </c>
      <c r="D60" s="5" t="s">
        <v>331</v>
      </c>
      <c r="E60" s="5" t="s">
        <v>456</v>
      </c>
      <c r="F60" s="5" t="s">
        <v>457</v>
      </c>
      <c r="G60" s="5" t="s">
        <v>142</v>
      </c>
      <c r="H60" s="5" t="s">
        <v>394</v>
      </c>
      <c r="I60" s="5" t="s">
        <v>83</v>
      </c>
      <c r="J60" s="5" t="s">
        <v>458</v>
      </c>
      <c r="K60" s="5" t="s">
        <v>459</v>
      </c>
      <c r="L60" s="5" t="s">
        <v>372</v>
      </c>
      <c r="M60" s="6" t="s">
        <v>104</v>
      </c>
      <c r="N60" s="6"/>
      <c r="O60" s="6"/>
    </row>
    <row r="61" spans="1:15" ht="38.25" customHeight="1">
      <c r="A61" s="5" t="s">
        <v>460</v>
      </c>
      <c r="B61" s="5" t="s">
        <v>391</v>
      </c>
      <c r="C61" s="5" t="s">
        <v>246</v>
      </c>
      <c r="D61" s="5" t="s">
        <v>148</v>
      </c>
      <c r="E61" s="5" t="s">
        <v>392</v>
      </c>
      <c r="F61" s="5" t="s">
        <v>461</v>
      </c>
      <c r="G61" s="5" t="s">
        <v>142</v>
      </c>
      <c r="H61" s="5" t="s">
        <v>394</v>
      </c>
      <c r="I61" s="5" t="s">
        <v>71</v>
      </c>
      <c r="J61" s="5" t="s">
        <v>164</v>
      </c>
      <c r="K61" s="5" t="s">
        <v>462</v>
      </c>
      <c r="L61" s="5" t="s">
        <v>376</v>
      </c>
      <c r="M61" s="6" t="s">
        <v>104</v>
      </c>
      <c r="N61" s="6"/>
      <c r="O61" s="6"/>
    </row>
    <row r="62" spans="1:15" ht="63.75" customHeight="1">
      <c r="A62" s="5" t="s">
        <v>463</v>
      </c>
      <c r="B62" s="5" t="s">
        <v>391</v>
      </c>
      <c r="C62" s="5" t="s">
        <v>246</v>
      </c>
      <c r="D62" s="5" t="s">
        <v>148</v>
      </c>
      <c r="E62" s="5" t="s">
        <v>405</v>
      </c>
      <c r="F62" s="5" t="s">
        <v>464</v>
      </c>
      <c r="G62" s="5" t="s">
        <v>151</v>
      </c>
      <c r="H62" s="5" t="s">
        <v>407</v>
      </c>
      <c r="I62" s="5" t="s">
        <v>465</v>
      </c>
      <c r="J62" s="5" t="s">
        <v>41</v>
      </c>
      <c r="K62" s="5" t="s">
        <v>466</v>
      </c>
      <c r="L62" s="5" t="s">
        <v>467</v>
      </c>
      <c r="M62" s="6" t="s">
        <v>104</v>
      </c>
      <c r="N62" s="6"/>
      <c r="O62" s="6"/>
    </row>
    <row r="63" spans="1:15" ht="63.75" customHeight="1">
      <c r="A63" s="5" t="s">
        <v>468</v>
      </c>
      <c r="B63" s="5" t="s">
        <v>391</v>
      </c>
      <c r="C63" s="5" t="s">
        <v>246</v>
      </c>
      <c r="D63" s="5" t="s">
        <v>148</v>
      </c>
      <c r="E63" s="5" t="s">
        <v>469</v>
      </c>
      <c r="F63" s="5" t="s">
        <v>470</v>
      </c>
      <c r="G63" s="5" t="s">
        <v>151</v>
      </c>
      <c r="H63" s="5" t="s">
        <v>208</v>
      </c>
      <c r="I63" s="5" t="s">
        <v>76</v>
      </c>
      <c r="J63" s="5" t="s">
        <v>41</v>
      </c>
      <c r="K63" s="5" t="s">
        <v>471</v>
      </c>
      <c r="L63" s="5" t="s">
        <v>472</v>
      </c>
      <c r="M63" s="6" t="s">
        <v>104</v>
      </c>
      <c r="N63" s="6"/>
      <c r="O63" s="6"/>
    </row>
    <row r="64" spans="1:15" ht="63.75" customHeight="1">
      <c r="A64" s="5" t="s">
        <v>473</v>
      </c>
      <c r="B64" s="5" t="s">
        <v>391</v>
      </c>
      <c r="C64" s="5" t="s">
        <v>246</v>
      </c>
      <c r="D64" s="5" t="s">
        <v>474</v>
      </c>
      <c r="E64" s="5" t="s">
        <v>443</v>
      </c>
      <c r="F64" s="5" t="s">
        <v>475</v>
      </c>
      <c r="G64" s="5" t="s">
        <v>142</v>
      </c>
      <c r="H64" s="5" t="s">
        <v>407</v>
      </c>
      <c r="I64" s="5" t="s">
        <v>43</v>
      </c>
      <c r="J64" s="5" t="s">
        <v>49</v>
      </c>
      <c r="K64" s="5" t="s">
        <v>476</v>
      </c>
      <c r="L64" s="5" t="s">
        <v>477</v>
      </c>
      <c r="M64" s="6" t="s">
        <v>104</v>
      </c>
      <c r="N64" s="6"/>
      <c r="O64" s="6"/>
    </row>
    <row r="65" spans="1:15" ht="38.25" customHeight="1">
      <c r="A65" s="5" t="s">
        <v>478</v>
      </c>
      <c r="B65" s="5" t="s">
        <v>391</v>
      </c>
      <c r="C65" s="5" t="s">
        <v>246</v>
      </c>
      <c r="D65" s="5" t="s">
        <v>479</v>
      </c>
      <c r="E65" s="5" t="s">
        <v>480</v>
      </c>
      <c r="F65" s="5" t="s">
        <v>481</v>
      </c>
      <c r="G65" s="5" t="s">
        <v>151</v>
      </c>
      <c r="H65" s="5" t="s">
        <v>394</v>
      </c>
      <c r="I65" s="5"/>
      <c r="J65" s="5" t="s">
        <v>41</v>
      </c>
      <c r="K65" s="5" t="s">
        <v>482</v>
      </c>
      <c r="L65" s="5" t="s">
        <v>483</v>
      </c>
      <c r="M65" s="6" t="s">
        <v>104</v>
      </c>
      <c r="N65" s="6"/>
      <c r="O65" s="6"/>
    </row>
    <row r="66" spans="1:15" ht="102" customHeight="1">
      <c r="A66" s="5" t="s">
        <v>484</v>
      </c>
      <c r="B66" s="5" t="s">
        <v>391</v>
      </c>
      <c r="C66" s="5" t="s">
        <v>246</v>
      </c>
      <c r="D66" s="5" t="s">
        <v>479</v>
      </c>
      <c r="E66" s="5" t="s">
        <v>392</v>
      </c>
      <c r="F66" s="5" t="s">
        <v>481</v>
      </c>
      <c r="G66" s="5" t="s">
        <v>142</v>
      </c>
      <c r="H66" s="5" t="s">
        <v>394</v>
      </c>
      <c r="I66" s="5" t="s">
        <v>71</v>
      </c>
      <c r="J66" s="5" t="s">
        <v>485</v>
      </c>
      <c r="K66" s="5" t="s">
        <v>486</v>
      </c>
      <c r="L66" s="5" t="s">
        <v>487</v>
      </c>
      <c r="M66" s="6" t="s">
        <v>104</v>
      </c>
      <c r="N66" s="6"/>
      <c r="O66" s="6"/>
    </row>
    <row r="67" spans="1:15" ht="63.75" customHeight="1">
      <c r="A67" s="5" t="s">
        <v>488</v>
      </c>
      <c r="B67" s="5" t="s">
        <v>391</v>
      </c>
      <c r="C67" s="5" t="s">
        <v>246</v>
      </c>
      <c r="D67" s="5" t="s">
        <v>489</v>
      </c>
      <c r="E67" s="5" t="s">
        <v>432</v>
      </c>
      <c r="F67" s="5" t="s">
        <v>490</v>
      </c>
      <c r="G67" s="5" t="s">
        <v>142</v>
      </c>
      <c r="H67" s="5" t="s">
        <v>407</v>
      </c>
      <c r="I67" s="5" t="s">
        <v>56</v>
      </c>
      <c r="J67" s="5" t="s">
        <v>49</v>
      </c>
      <c r="K67" s="5" t="s">
        <v>491</v>
      </c>
      <c r="L67" s="5" t="s">
        <v>492</v>
      </c>
      <c r="M67" s="6" t="s">
        <v>104</v>
      </c>
      <c r="N67" s="6"/>
      <c r="O67" s="6"/>
    </row>
    <row r="68" spans="1:15" ht="102" customHeight="1">
      <c r="A68" s="5" t="s">
        <v>493</v>
      </c>
      <c r="B68" s="5" t="s">
        <v>391</v>
      </c>
      <c r="C68" s="5" t="s">
        <v>246</v>
      </c>
      <c r="D68" s="5" t="s">
        <v>494</v>
      </c>
      <c r="E68" s="5" t="s">
        <v>495</v>
      </c>
      <c r="F68" s="5" t="s">
        <v>481</v>
      </c>
      <c r="G68" s="5" t="s">
        <v>151</v>
      </c>
      <c r="H68" s="5" t="s">
        <v>394</v>
      </c>
      <c r="I68" s="5"/>
      <c r="J68" s="5" t="s">
        <v>144</v>
      </c>
      <c r="K68" s="5" t="s">
        <v>496</v>
      </c>
      <c r="L68" s="5" t="s">
        <v>497</v>
      </c>
      <c r="M68" s="6" t="s">
        <v>104</v>
      </c>
      <c r="N68" s="6"/>
      <c r="O68" s="6"/>
    </row>
    <row r="69" spans="1:15" ht="102" customHeight="1">
      <c r="A69" s="5" t="s">
        <v>498</v>
      </c>
      <c r="B69" s="5" t="s">
        <v>391</v>
      </c>
      <c r="C69" s="5" t="s">
        <v>246</v>
      </c>
      <c r="D69" s="5" t="s">
        <v>499</v>
      </c>
      <c r="E69" s="5" t="s">
        <v>500</v>
      </c>
      <c r="F69" s="5" t="s">
        <v>393</v>
      </c>
      <c r="G69" s="5" t="s">
        <v>142</v>
      </c>
      <c r="H69" s="5" t="s">
        <v>394</v>
      </c>
      <c r="I69" s="5" t="s">
        <v>83</v>
      </c>
      <c r="J69" s="5" t="s">
        <v>144</v>
      </c>
      <c r="K69" s="5" t="s">
        <v>501</v>
      </c>
      <c r="L69" s="5" t="s">
        <v>502</v>
      </c>
      <c r="M69" s="6" t="s">
        <v>104</v>
      </c>
      <c r="N69" s="6"/>
      <c r="O69" s="6"/>
    </row>
    <row r="70" spans="1:15" ht="89.25" customHeight="1">
      <c r="A70" s="5" t="s">
        <v>503</v>
      </c>
      <c r="B70" s="5" t="s">
        <v>391</v>
      </c>
      <c r="C70" s="5" t="s">
        <v>246</v>
      </c>
      <c r="D70" s="5" t="s">
        <v>499</v>
      </c>
      <c r="E70" s="5" t="s">
        <v>504</v>
      </c>
      <c r="F70" s="5" t="s">
        <v>393</v>
      </c>
      <c r="G70" s="5" t="s">
        <v>142</v>
      </c>
      <c r="H70" s="5" t="s">
        <v>394</v>
      </c>
      <c r="I70" s="5" t="s">
        <v>83</v>
      </c>
      <c r="J70" s="5" t="s">
        <v>144</v>
      </c>
      <c r="K70" s="5" t="s">
        <v>505</v>
      </c>
      <c r="L70" s="5" t="s">
        <v>506</v>
      </c>
      <c r="M70" s="6" t="s">
        <v>211</v>
      </c>
      <c r="N70" s="6" t="s">
        <v>212</v>
      </c>
      <c r="O70" s="6" t="s">
        <v>507</v>
      </c>
    </row>
    <row r="71" spans="1:15" ht="102" customHeight="1">
      <c r="A71" s="5" t="s">
        <v>508</v>
      </c>
      <c r="B71" s="5" t="s">
        <v>391</v>
      </c>
      <c r="C71" s="5" t="s">
        <v>246</v>
      </c>
      <c r="D71" s="5" t="s">
        <v>509</v>
      </c>
      <c r="E71" s="5" t="s">
        <v>510</v>
      </c>
      <c r="F71" s="5" t="s">
        <v>511</v>
      </c>
      <c r="G71" s="5" t="s">
        <v>151</v>
      </c>
      <c r="H71" s="5" t="s">
        <v>407</v>
      </c>
      <c r="I71" s="5" t="s">
        <v>71</v>
      </c>
      <c r="J71" s="5" t="s">
        <v>144</v>
      </c>
      <c r="K71" s="5" t="s">
        <v>512</v>
      </c>
      <c r="L71" s="5" t="s">
        <v>329</v>
      </c>
      <c r="M71" s="6" t="s">
        <v>104</v>
      </c>
      <c r="N71" s="6"/>
      <c r="O71" s="6"/>
    </row>
    <row r="72" spans="1:15" ht="63.75" customHeight="1">
      <c r="A72" s="5" t="s">
        <v>513</v>
      </c>
      <c r="B72" s="5" t="s">
        <v>391</v>
      </c>
      <c r="C72" s="5" t="s">
        <v>246</v>
      </c>
      <c r="D72" s="5" t="s">
        <v>514</v>
      </c>
      <c r="E72" s="5" t="s">
        <v>515</v>
      </c>
      <c r="F72" s="5"/>
      <c r="G72" s="5"/>
      <c r="H72" s="5"/>
      <c r="I72" s="5"/>
      <c r="J72" s="5" t="s">
        <v>144</v>
      </c>
      <c r="K72" s="5" t="s">
        <v>516</v>
      </c>
      <c r="L72" s="5" t="s">
        <v>446</v>
      </c>
      <c r="M72" s="6" t="s">
        <v>104</v>
      </c>
      <c r="N72" s="6"/>
      <c r="O72" s="6"/>
    </row>
    <row r="73" spans="1:15" ht="114.75" customHeight="1">
      <c r="A73" s="5" t="s">
        <v>517</v>
      </c>
      <c r="B73" s="5" t="s">
        <v>391</v>
      </c>
      <c r="C73" s="5" t="s">
        <v>246</v>
      </c>
      <c r="D73" s="5" t="s">
        <v>518</v>
      </c>
      <c r="E73" s="5" t="s">
        <v>519</v>
      </c>
      <c r="F73" s="5" t="s">
        <v>481</v>
      </c>
      <c r="G73" s="5" t="s">
        <v>142</v>
      </c>
      <c r="H73" s="5" t="s">
        <v>394</v>
      </c>
      <c r="I73" s="5" t="s">
        <v>71</v>
      </c>
      <c r="J73" s="5" t="s">
        <v>144</v>
      </c>
      <c r="K73" s="5" t="s">
        <v>520</v>
      </c>
      <c r="L73" s="5" t="s">
        <v>521</v>
      </c>
      <c r="M73" s="6" t="s">
        <v>104</v>
      </c>
      <c r="N73" s="6"/>
      <c r="O73" s="6"/>
    </row>
    <row r="74" spans="1:15" ht="76.5" customHeight="1">
      <c r="A74" s="5" t="s">
        <v>522</v>
      </c>
      <c r="B74" s="5" t="s">
        <v>391</v>
      </c>
      <c r="C74" s="5" t="s">
        <v>246</v>
      </c>
      <c r="D74" s="5" t="s">
        <v>523</v>
      </c>
      <c r="E74" s="5" t="s">
        <v>524</v>
      </c>
      <c r="F74" s="5" t="s">
        <v>414</v>
      </c>
      <c r="G74" s="5" t="s">
        <v>142</v>
      </c>
      <c r="H74" s="5" t="s">
        <v>407</v>
      </c>
      <c r="I74" s="5"/>
      <c r="J74" s="5" t="s">
        <v>281</v>
      </c>
      <c r="K74" s="5" t="s">
        <v>415</v>
      </c>
      <c r="L74" s="5" t="s">
        <v>525</v>
      </c>
      <c r="M74" s="6" t="s">
        <v>104</v>
      </c>
      <c r="N74" s="6"/>
      <c r="O74" s="6"/>
    </row>
    <row r="75" spans="1:15" ht="76.5" customHeight="1">
      <c r="A75" s="5" t="s">
        <v>526</v>
      </c>
      <c r="B75" s="5" t="s">
        <v>391</v>
      </c>
      <c r="C75" s="5" t="s">
        <v>246</v>
      </c>
      <c r="D75" s="5" t="s">
        <v>518</v>
      </c>
      <c r="E75" s="5" t="s">
        <v>527</v>
      </c>
      <c r="F75" s="5" t="s">
        <v>528</v>
      </c>
      <c r="G75" s="5" t="s">
        <v>142</v>
      </c>
      <c r="H75" s="5" t="s">
        <v>394</v>
      </c>
      <c r="I75" s="5" t="s">
        <v>83</v>
      </c>
      <c r="J75" s="5" t="s">
        <v>323</v>
      </c>
      <c r="K75" s="5" t="s">
        <v>529</v>
      </c>
      <c r="L75" s="5" t="s">
        <v>530</v>
      </c>
      <c r="M75" s="6" t="s">
        <v>104</v>
      </c>
      <c r="N75" s="6"/>
      <c r="O75" s="6"/>
    </row>
    <row r="76" spans="1:15" ht="114.75" customHeight="1">
      <c r="A76" s="5" t="s">
        <v>531</v>
      </c>
      <c r="B76" s="5" t="s">
        <v>391</v>
      </c>
      <c r="C76" s="5" t="s">
        <v>246</v>
      </c>
      <c r="D76" s="5" t="s">
        <v>532</v>
      </c>
      <c r="E76" s="5" t="s">
        <v>533</v>
      </c>
      <c r="F76" s="5" t="s">
        <v>464</v>
      </c>
      <c r="G76" s="5" t="s">
        <v>151</v>
      </c>
      <c r="H76" s="5" t="s">
        <v>407</v>
      </c>
      <c r="I76" s="5" t="s">
        <v>465</v>
      </c>
      <c r="J76" s="5" t="s">
        <v>144</v>
      </c>
      <c r="K76" s="5" t="s">
        <v>534</v>
      </c>
      <c r="L76" s="5" t="s">
        <v>449</v>
      </c>
      <c r="M76" s="6" t="s">
        <v>104</v>
      </c>
      <c r="N76" s="6"/>
      <c r="O76" s="6"/>
    </row>
    <row r="77" spans="1:15" ht="38.25" customHeight="1">
      <c r="A77" s="5" t="s">
        <v>535</v>
      </c>
      <c r="B77" s="5" t="s">
        <v>391</v>
      </c>
      <c r="C77" s="5" t="s">
        <v>246</v>
      </c>
      <c r="D77" s="5" t="s">
        <v>536</v>
      </c>
      <c r="E77" s="5" t="s">
        <v>537</v>
      </c>
      <c r="F77" s="5" t="s">
        <v>433</v>
      </c>
      <c r="G77" s="5" t="s">
        <v>142</v>
      </c>
      <c r="H77" s="5" t="s">
        <v>407</v>
      </c>
      <c r="I77" s="5"/>
      <c r="J77" s="5" t="s">
        <v>144</v>
      </c>
      <c r="K77" s="5" t="s">
        <v>538</v>
      </c>
      <c r="L77" s="5" t="s">
        <v>539</v>
      </c>
      <c r="M77" s="6" t="s">
        <v>104</v>
      </c>
      <c r="N77" s="6"/>
      <c r="O77" s="6"/>
    </row>
    <row r="78" spans="1:15" ht="63.75" customHeight="1">
      <c r="A78" s="5" t="s">
        <v>540</v>
      </c>
      <c r="B78" s="5" t="s">
        <v>391</v>
      </c>
      <c r="C78" s="5" t="s">
        <v>246</v>
      </c>
      <c r="D78" s="5" t="s">
        <v>541</v>
      </c>
      <c r="E78" s="5" t="s">
        <v>542</v>
      </c>
      <c r="F78" s="5" t="s">
        <v>543</v>
      </c>
      <c r="G78" s="5" t="s">
        <v>151</v>
      </c>
      <c r="H78" s="5" t="s">
        <v>208</v>
      </c>
      <c r="I78" s="5" t="s">
        <v>544</v>
      </c>
      <c r="J78" s="5" t="s">
        <v>144</v>
      </c>
      <c r="K78" s="5" t="s">
        <v>545</v>
      </c>
      <c r="L78" s="5" t="s">
        <v>396</v>
      </c>
      <c r="M78" s="6" t="s">
        <v>104</v>
      </c>
      <c r="N78" s="6"/>
      <c r="O78" s="6"/>
    </row>
    <row r="79" spans="1:15" ht="76.5" customHeight="1">
      <c r="A79" s="5" t="s">
        <v>546</v>
      </c>
      <c r="B79" s="5" t="s">
        <v>391</v>
      </c>
      <c r="C79" s="5" t="s">
        <v>246</v>
      </c>
      <c r="D79" s="5" t="s">
        <v>547</v>
      </c>
      <c r="E79" s="5" t="s">
        <v>548</v>
      </c>
      <c r="F79" s="5" t="s">
        <v>490</v>
      </c>
      <c r="G79" s="5" t="s">
        <v>142</v>
      </c>
      <c r="H79" s="5" t="s">
        <v>407</v>
      </c>
      <c r="I79" s="5" t="s">
        <v>56</v>
      </c>
      <c r="J79" s="5" t="s">
        <v>144</v>
      </c>
      <c r="K79" s="5" t="s">
        <v>549</v>
      </c>
      <c r="L79" s="5" t="s">
        <v>155</v>
      </c>
      <c r="M79" s="6" t="s">
        <v>104</v>
      </c>
      <c r="N79" s="6"/>
      <c r="O79" s="6"/>
    </row>
    <row r="80" spans="1:15" ht="102" customHeight="1">
      <c r="A80" s="5" t="s">
        <v>550</v>
      </c>
      <c r="B80" s="5" t="s">
        <v>391</v>
      </c>
      <c r="C80" s="5" t="s">
        <v>246</v>
      </c>
      <c r="D80" s="5" t="s">
        <v>518</v>
      </c>
      <c r="E80" s="5" t="s">
        <v>551</v>
      </c>
      <c r="F80" s="5" t="s">
        <v>393</v>
      </c>
      <c r="G80" s="5" t="s">
        <v>142</v>
      </c>
      <c r="H80" s="5" t="s">
        <v>394</v>
      </c>
      <c r="I80" s="5" t="s">
        <v>83</v>
      </c>
      <c r="J80" s="5" t="s">
        <v>144</v>
      </c>
      <c r="K80" s="5" t="s">
        <v>501</v>
      </c>
      <c r="L80" s="5" t="s">
        <v>160</v>
      </c>
      <c r="M80" s="6" t="s">
        <v>104</v>
      </c>
      <c r="N80" s="6"/>
      <c r="O80" s="6"/>
    </row>
    <row r="81" spans="1:15" ht="89.25" customHeight="1">
      <c r="A81" s="5" t="s">
        <v>552</v>
      </c>
      <c r="B81" s="5" t="s">
        <v>391</v>
      </c>
      <c r="C81" s="5" t="s">
        <v>246</v>
      </c>
      <c r="D81" s="5" t="s">
        <v>553</v>
      </c>
      <c r="E81" s="5" t="s">
        <v>554</v>
      </c>
      <c r="F81" s="5" t="s">
        <v>470</v>
      </c>
      <c r="G81" s="5" t="s">
        <v>151</v>
      </c>
      <c r="H81" s="5" t="s">
        <v>208</v>
      </c>
      <c r="I81" s="5" t="s">
        <v>76</v>
      </c>
      <c r="J81" s="5" t="s">
        <v>144</v>
      </c>
      <c r="K81" s="5" t="s">
        <v>555</v>
      </c>
      <c r="L81" s="5" t="s">
        <v>467</v>
      </c>
      <c r="M81" s="6" t="s">
        <v>104</v>
      </c>
      <c r="N81" s="6"/>
      <c r="O81" s="6"/>
    </row>
    <row r="82" spans="1:15" ht="140.25" customHeight="1">
      <c r="A82" s="5" t="s">
        <v>556</v>
      </c>
      <c r="B82" s="5" t="s">
        <v>391</v>
      </c>
      <c r="C82" s="5" t="s">
        <v>246</v>
      </c>
      <c r="D82" s="5" t="s">
        <v>509</v>
      </c>
      <c r="E82" s="5" t="s">
        <v>374</v>
      </c>
      <c r="F82" s="5" t="s">
        <v>400</v>
      </c>
      <c r="G82" s="5" t="s">
        <v>142</v>
      </c>
      <c r="H82" s="5" t="s">
        <v>394</v>
      </c>
      <c r="I82" s="5"/>
      <c r="J82" s="5" t="s">
        <v>144</v>
      </c>
      <c r="K82" s="5" t="s">
        <v>557</v>
      </c>
      <c r="L82" s="5" t="s">
        <v>483</v>
      </c>
      <c r="M82" s="6" t="s">
        <v>211</v>
      </c>
      <c r="N82" s="6" t="s">
        <v>558</v>
      </c>
      <c r="O82" s="6" t="s">
        <v>559</v>
      </c>
    </row>
    <row r="83" spans="1:15" ht="76.5" customHeight="1">
      <c r="A83" s="5" t="s">
        <v>560</v>
      </c>
      <c r="B83" s="5" t="s">
        <v>391</v>
      </c>
      <c r="C83" s="5" t="s">
        <v>246</v>
      </c>
      <c r="D83" s="5" t="s">
        <v>532</v>
      </c>
      <c r="E83" s="5" t="s">
        <v>561</v>
      </c>
      <c r="F83" s="5" t="s">
        <v>444</v>
      </c>
      <c r="G83" s="5" t="s">
        <v>421</v>
      </c>
      <c r="H83" s="5" t="s">
        <v>407</v>
      </c>
      <c r="I83" s="5" t="s">
        <v>83</v>
      </c>
      <c r="J83" s="5" t="s">
        <v>144</v>
      </c>
      <c r="K83" s="5" t="s">
        <v>562</v>
      </c>
      <c r="L83" s="5" t="s">
        <v>487</v>
      </c>
      <c r="M83" s="6" t="s">
        <v>104</v>
      </c>
      <c r="N83" s="6"/>
      <c r="O83" s="6"/>
    </row>
    <row r="84" spans="1:15" ht="63.75" customHeight="1">
      <c r="A84" s="5" t="s">
        <v>563</v>
      </c>
      <c r="B84" s="5" t="s">
        <v>391</v>
      </c>
      <c r="C84" s="5" t="s">
        <v>246</v>
      </c>
      <c r="D84" s="5" t="s">
        <v>564</v>
      </c>
      <c r="E84" s="5" t="s">
        <v>564</v>
      </c>
      <c r="F84" s="5" t="s">
        <v>481</v>
      </c>
      <c r="G84" s="5" t="s">
        <v>151</v>
      </c>
      <c r="H84" s="5" t="s">
        <v>394</v>
      </c>
      <c r="I84" s="5"/>
      <c r="J84" s="5" t="s">
        <v>144</v>
      </c>
      <c r="K84" s="5" t="s">
        <v>565</v>
      </c>
      <c r="L84" s="5" t="s">
        <v>566</v>
      </c>
      <c r="M84" s="6" t="s">
        <v>104</v>
      </c>
      <c r="N84" s="6"/>
      <c r="O84" s="6"/>
    </row>
    <row r="85" spans="1:15" ht="63.75" customHeight="1">
      <c r="A85" s="5" t="s">
        <v>567</v>
      </c>
      <c r="B85" s="5" t="s">
        <v>391</v>
      </c>
      <c r="C85" s="5" t="s">
        <v>246</v>
      </c>
      <c r="D85" s="5" t="s">
        <v>532</v>
      </c>
      <c r="E85" s="5" t="s">
        <v>568</v>
      </c>
      <c r="F85" s="5" t="s">
        <v>569</v>
      </c>
      <c r="G85" s="5" t="s">
        <v>421</v>
      </c>
      <c r="H85" s="5" t="s">
        <v>407</v>
      </c>
      <c r="I85" s="5"/>
      <c r="J85" s="5" t="s">
        <v>144</v>
      </c>
      <c r="K85" s="5" t="s">
        <v>570</v>
      </c>
      <c r="L85" s="5" t="s">
        <v>571</v>
      </c>
      <c r="M85" s="6" t="s">
        <v>104</v>
      </c>
      <c r="N85" s="6"/>
      <c r="O85" s="6"/>
    </row>
    <row r="86" spans="1:15" ht="51" customHeight="1">
      <c r="A86" s="5" t="s">
        <v>572</v>
      </c>
      <c r="B86" s="5" t="s">
        <v>391</v>
      </c>
      <c r="C86" s="5" t="s">
        <v>246</v>
      </c>
      <c r="D86" s="5" t="s">
        <v>532</v>
      </c>
      <c r="E86" s="5" t="s">
        <v>573</v>
      </c>
      <c r="F86" s="5" t="s">
        <v>569</v>
      </c>
      <c r="G86" s="5" t="s">
        <v>421</v>
      </c>
      <c r="H86" s="5" t="s">
        <v>407</v>
      </c>
      <c r="I86" s="5"/>
      <c r="J86" s="5" t="s">
        <v>144</v>
      </c>
      <c r="K86" s="5" t="s">
        <v>574</v>
      </c>
      <c r="L86" s="5" t="s">
        <v>575</v>
      </c>
      <c r="M86" s="6" t="s">
        <v>104</v>
      </c>
      <c r="N86" s="6"/>
      <c r="O86" s="6"/>
    </row>
    <row r="87" spans="1:15" ht="38.25" customHeight="1">
      <c r="A87" s="5" t="s">
        <v>576</v>
      </c>
      <c r="B87" s="5" t="s">
        <v>391</v>
      </c>
      <c r="C87" s="5" t="s">
        <v>246</v>
      </c>
      <c r="D87" s="5" t="s">
        <v>577</v>
      </c>
      <c r="E87" s="5" t="s">
        <v>578</v>
      </c>
      <c r="F87" s="5" t="s">
        <v>453</v>
      </c>
      <c r="G87" s="5" t="s">
        <v>142</v>
      </c>
      <c r="H87" s="5" t="s">
        <v>208</v>
      </c>
      <c r="I87" s="5"/>
      <c r="J87" s="5" t="s">
        <v>144</v>
      </c>
      <c r="K87" s="5" t="s">
        <v>579</v>
      </c>
      <c r="L87" s="5" t="s">
        <v>580</v>
      </c>
      <c r="M87" s="6" t="s">
        <v>104</v>
      </c>
      <c r="N87" s="6"/>
      <c r="O87" s="6"/>
    </row>
    <row r="88" spans="1:15" ht="165.75" customHeight="1">
      <c r="A88" s="5" t="s">
        <v>581</v>
      </c>
      <c r="B88" s="5" t="s">
        <v>391</v>
      </c>
      <c r="C88" s="5" t="s">
        <v>246</v>
      </c>
      <c r="D88" s="5" t="s">
        <v>582</v>
      </c>
      <c r="E88" s="5" t="s">
        <v>583</v>
      </c>
      <c r="F88" s="5" t="s">
        <v>584</v>
      </c>
      <c r="G88" s="5" t="s">
        <v>142</v>
      </c>
      <c r="H88" s="5" t="s">
        <v>407</v>
      </c>
      <c r="I88" s="5"/>
      <c r="J88" s="5" t="s">
        <v>144</v>
      </c>
      <c r="K88" s="5" t="s">
        <v>585</v>
      </c>
      <c r="L88" s="5" t="s">
        <v>586</v>
      </c>
      <c r="M88" s="6" t="s">
        <v>104</v>
      </c>
      <c r="N88" s="6"/>
      <c r="O88" s="6"/>
    </row>
    <row r="89" spans="1:15" ht="63.75" customHeight="1">
      <c r="A89" s="5" t="s">
        <v>587</v>
      </c>
      <c r="B89" s="5" t="s">
        <v>391</v>
      </c>
      <c r="C89" s="5" t="s">
        <v>246</v>
      </c>
      <c r="D89" s="5" t="s">
        <v>532</v>
      </c>
      <c r="E89" s="5" t="s">
        <v>588</v>
      </c>
      <c r="F89" s="5" t="s">
        <v>475</v>
      </c>
      <c r="G89" s="5" t="s">
        <v>142</v>
      </c>
      <c r="H89" s="5" t="s">
        <v>407</v>
      </c>
      <c r="I89" s="5" t="s">
        <v>43</v>
      </c>
      <c r="J89" s="5" t="s">
        <v>144</v>
      </c>
      <c r="K89" s="5" t="s">
        <v>589</v>
      </c>
      <c r="L89" s="5" t="s">
        <v>590</v>
      </c>
      <c r="M89" s="6" t="s">
        <v>104</v>
      </c>
      <c r="N89" s="6" t="s">
        <v>591</v>
      </c>
      <c r="O89" s="6" t="s">
        <v>592</v>
      </c>
    </row>
    <row r="90" spans="1:15" ht="114.75" customHeight="1">
      <c r="A90" s="5" t="s">
        <v>593</v>
      </c>
      <c r="B90" s="5" t="s">
        <v>391</v>
      </c>
      <c r="C90" s="5" t="s">
        <v>246</v>
      </c>
      <c r="D90" s="5" t="s">
        <v>266</v>
      </c>
      <c r="E90" s="5" t="s">
        <v>594</v>
      </c>
      <c r="F90" s="5" t="s">
        <v>569</v>
      </c>
      <c r="G90" s="5" t="s">
        <v>421</v>
      </c>
      <c r="H90" s="5" t="s">
        <v>407</v>
      </c>
      <c r="I90" s="5"/>
      <c r="J90" s="5" t="s">
        <v>144</v>
      </c>
      <c r="K90" s="5" t="s">
        <v>595</v>
      </c>
      <c r="L90" s="5" t="s">
        <v>596</v>
      </c>
      <c r="M90" s="6" t="s">
        <v>104</v>
      </c>
      <c r="N90" s="6" t="s">
        <v>597</v>
      </c>
      <c r="O90" s="6" t="s">
        <v>598</v>
      </c>
    </row>
    <row r="91" spans="1:15" ht="140.25" customHeight="1">
      <c r="A91" s="5" t="s">
        <v>599</v>
      </c>
      <c r="B91" s="5" t="s">
        <v>391</v>
      </c>
      <c r="C91" s="5" t="s">
        <v>246</v>
      </c>
      <c r="D91" s="5" t="s">
        <v>266</v>
      </c>
      <c r="E91" s="5" t="s">
        <v>374</v>
      </c>
      <c r="F91" s="5" t="s">
        <v>400</v>
      </c>
      <c r="G91" s="5" t="s">
        <v>142</v>
      </c>
      <c r="H91" s="5" t="s">
        <v>394</v>
      </c>
      <c r="I91" s="5"/>
      <c r="J91" s="5" t="s">
        <v>144</v>
      </c>
      <c r="K91" s="5" t="s">
        <v>557</v>
      </c>
      <c r="L91" s="5" t="s">
        <v>600</v>
      </c>
      <c r="M91" s="6" t="s">
        <v>211</v>
      </c>
      <c r="N91" s="6" t="s">
        <v>558</v>
      </c>
      <c r="O91" s="6" t="s">
        <v>601</v>
      </c>
    </row>
    <row r="92" spans="1:15" ht="114.75" customHeight="1">
      <c r="A92" s="5" t="s">
        <v>602</v>
      </c>
      <c r="B92" s="5" t="s">
        <v>391</v>
      </c>
      <c r="C92" s="5" t="s">
        <v>246</v>
      </c>
      <c r="D92" s="5" t="s">
        <v>603</v>
      </c>
      <c r="E92" s="5" t="s">
        <v>216</v>
      </c>
      <c r="F92" s="5" t="s">
        <v>150</v>
      </c>
      <c r="G92" s="5" t="s">
        <v>151</v>
      </c>
      <c r="H92" s="5" t="s">
        <v>152</v>
      </c>
      <c r="I92" s="5" t="s">
        <v>153</v>
      </c>
      <c r="J92" s="5" t="s">
        <v>144</v>
      </c>
      <c r="K92" s="5" t="s">
        <v>604</v>
      </c>
      <c r="L92" s="5" t="s">
        <v>605</v>
      </c>
      <c r="M92" s="6" t="s">
        <v>104</v>
      </c>
      <c r="N92" s="6"/>
      <c r="O92" s="6"/>
    </row>
    <row r="93" spans="1:15" ht="63.75" customHeight="1">
      <c r="A93" s="5" t="s">
        <v>606</v>
      </c>
      <c r="B93" s="5" t="s">
        <v>391</v>
      </c>
      <c r="C93" s="5" t="s">
        <v>246</v>
      </c>
      <c r="D93" s="5" t="s">
        <v>607</v>
      </c>
      <c r="E93" s="5" t="s">
        <v>608</v>
      </c>
      <c r="F93" s="5" t="s">
        <v>444</v>
      </c>
      <c r="G93" s="5" t="s">
        <v>421</v>
      </c>
      <c r="H93" s="5" t="s">
        <v>407</v>
      </c>
      <c r="I93" s="5" t="s">
        <v>83</v>
      </c>
      <c r="J93" s="5" t="s">
        <v>144</v>
      </c>
      <c r="K93" s="5" t="s">
        <v>609</v>
      </c>
      <c r="L93" s="5" t="s">
        <v>610</v>
      </c>
      <c r="M93" s="6" t="s">
        <v>104</v>
      </c>
      <c r="N93" s="6"/>
      <c r="O93" s="6"/>
    </row>
    <row r="94" spans="1:15" ht="76.5" customHeight="1">
      <c r="A94" s="5" t="s">
        <v>611</v>
      </c>
      <c r="B94" s="5" t="s">
        <v>391</v>
      </c>
      <c r="C94" s="5" t="s">
        <v>246</v>
      </c>
      <c r="D94" s="5" t="s">
        <v>612</v>
      </c>
      <c r="E94" s="5" t="s">
        <v>613</v>
      </c>
      <c r="F94" s="5" t="s">
        <v>461</v>
      </c>
      <c r="G94" s="5" t="s">
        <v>142</v>
      </c>
      <c r="H94" s="5" t="s">
        <v>394</v>
      </c>
      <c r="I94" s="5" t="s">
        <v>71</v>
      </c>
      <c r="J94" s="5" t="s">
        <v>144</v>
      </c>
      <c r="K94" s="5" t="s">
        <v>614</v>
      </c>
      <c r="L94" s="5" t="s">
        <v>615</v>
      </c>
      <c r="M94" s="6" t="s">
        <v>104</v>
      </c>
      <c r="N94" s="6"/>
      <c r="O94" s="6"/>
    </row>
    <row r="95" spans="1:15" ht="76.5" customHeight="1">
      <c r="A95" s="5" t="s">
        <v>616</v>
      </c>
      <c r="B95" s="5" t="s">
        <v>391</v>
      </c>
      <c r="C95" s="5" t="s">
        <v>246</v>
      </c>
      <c r="D95" s="5" t="s">
        <v>617</v>
      </c>
      <c r="E95" s="5" t="s">
        <v>618</v>
      </c>
      <c r="F95" s="5" t="s">
        <v>481</v>
      </c>
      <c r="G95" s="5" t="s">
        <v>142</v>
      </c>
      <c r="H95" s="5" t="s">
        <v>394</v>
      </c>
      <c r="I95" s="5" t="s">
        <v>71</v>
      </c>
      <c r="J95" s="5" t="s">
        <v>144</v>
      </c>
      <c r="K95" s="5" t="s">
        <v>619</v>
      </c>
      <c r="L95" s="5" t="s">
        <v>620</v>
      </c>
      <c r="M95" s="6" t="s">
        <v>104</v>
      </c>
      <c r="N95" s="6"/>
      <c r="O95" s="6"/>
    </row>
    <row r="96" spans="1:15" ht="76.5" customHeight="1">
      <c r="A96" s="5" t="s">
        <v>621</v>
      </c>
      <c r="B96" s="5" t="s">
        <v>391</v>
      </c>
      <c r="C96" s="5" t="s">
        <v>246</v>
      </c>
      <c r="D96" s="5" t="s">
        <v>607</v>
      </c>
      <c r="E96" s="5" t="s">
        <v>622</v>
      </c>
      <c r="F96" s="5" t="s">
        <v>393</v>
      </c>
      <c r="G96" s="5" t="s">
        <v>142</v>
      </c>
      <c r="H96" s="5" t="s">
        <v>394</v>
      </c>
      <c r="I96" s="5" t="s">
        <v>83</v>
      </c>
      <c r="J96" s="5" t="s">
        <v>144</v>
      </c>
      <c r="K96" s="5" t="s">
        <v>623</v>
      </c>
      <c r="L96" s="5" t="s">
        <v>624</v>
      </c>
      <c r="M96" s="6" t="s">
        <v>104</v>
      </c>
      <c r="N96" s="6"/>
      <c r="O96" s="6"/>
    </row>
    <row r="97" spans="1:15" ht="140.25" customHeight="1">
      <c r="A97" s="5" t="s">
        <v>625</v>
      </c>
      <c r="B97" s="5" t="s">
        <v>391</v>
      </c>
      <c r="C97" s="5" t="s">
        <v>246</v>
      </c>
      <c r="D97" s="5" t="s">
        <v>626</v>
      </c>
      <c r="E97" s="5" t="s">
        <v>627</v>
      </c>
      <c r="F97" s="5" t="s">
        <v>464</v>
      </c>
      <c r="G97" s="5" t="s">
        <v>151</v>
      </c>
      <c r="H97" s="5" t="s">
        <v>407</v>
      </c>
      <c r="I97" s="5" t="s">
        <v>465</v>
      </c>
      <c r="J97" s="5" t="s">
        <v>144</v>
      </c>
      <c r="K97" s="5" t="s">
        <v>628</v>
      </c>
      <c r="L97" s="5" t="s">
        <v>629</v>
      </c>
      <c r="M97" s="6" t="s">
        <v>104</v>
      </c>
      <c r="N97" s="6"/>
      <c r="O97" s="6"/>
    </row>
    <row r="98" spans="1:15" ht="76.5" customHeight="1">
      <c r="A98" s="5" t="s">
        <v>630</v>
      </c>
      <c r="B98" s="5" t="s">
        <v>391</v>
      </c>
      <c r="C98" s="5" t="s">
        <v>246</v>
      </c>
      <c r="D98" s="5" t="s">
        <v>431</v>
      </c>
      <c r="E98" s="5" t="s">
        <v>443</v>
      </c>
      <c r="F98" s="5" t="s">
        <v>569</v>
      </c>
      <c r="G98" s="5" t="s">
        <v>421</v>
      </c>
      <c r="H98" s="5" t="s">
        <v>407</v>
      </c>
      <c r="I98" s="5"/>
      <c r="J98" s="5" t="s">
        <v>318</v>
      </c>
      <c r="K98" s="5" t="s">
        <v>631</v>
      </c>
      <c r="L98" s="5" t="s">
        <v>632</v>
      </c>
      <c r="M98" s="6" t="s">
        <v>104</v>
      </c>
      <c r="N98" s="6"/>
      <c r="O98" s="6"/>
    </row>
    <row r="99" spans="1:15" ht="63.75" customHeight="1">
      <c r="A99" s="5" t="s">
        <v>633</v>
      </c>
      <c r="B99" s="5" t="s">
        <v>391</v>
      </c>
      <c r="C99" s="5" t="s">
        <v>634</v>
      </c>
      <c r="D99" s="5" t="s">
        <v>431</v>
      </c>
      <c r="E99" s="5" t="s">
        <v>438</v>
      </c>
      <c r="F99" s="5" t="s">
        <v>433</v>
      </c>
      <c r="G99" s="5" t="s">
        <v>142</v>
      </c>
      <c r="H99" s="5" t="s">
        <v>407</v>
      </c>
      <c r="I99" s="5"/>
      <c r="J99" s="5" t="s">
        <v>323</v>
      </c>
      <c r="K99" s="5" t="s">
        <v>635</v>
      </c>
      <c r="L99" s="5" t="s">
        <v>189</v>
      </c>
      <c r="M99" s="6" t="s">
        <v>104</v>
      </c>
      <c r="N99" s="6"/>
      <c r="O99" s="6"/>
    </row>
    <row r="100" spans="1:15" ht="51" customHeight="1">
      <c r="A100" s="5" t="s">
        <v>636</v>
      </c>
      <c r="B100" s="5" t="s">
        <v>391</v>
      </c>
      <c r="C100" s="5" t="s">
        <v>634</v>
      </c>
      <c r="D100" s="5" t="s">
        <v>442</v>
      </c>
      <c r="E100" s="5" t="s">
        <v>392</v>
      </c>
      <c r="F100" s="5" t="s">
        <v>528</v>
      </c>
      <c r="G100" s="5" t="s">
        <v>142</v>
      </c>
      <c r="H100" s="5" t="s">
        <v>394</v>
      </c>
      <c r="I100" s="5" t="s">
        <v>83</v>
      </c>
      <c r="J100" s="5" t="s">
        <v>637</v>
      </c>
      <c r="K100" s="5" t="s">
        <v>638</v>
      </c>
      <c r="L100" s="5" t="s">
        <v>530</v>
      </c>
      <c r="M100" s="6" t="s">
        <v>104</v>
      </c>
      <c r="N100" s="6"/>
      <c r="O100" s="6"/>
    </row>
    <row r="101" spans="1:15" ht="51" customHeight="1">
      <c r="A101" s="5" t="s">
        <v>639</v>
      </c>
      <c r="B101" s="5" t="s">
        <v>391</v>
      </c>
      <c r="C101" s="5" t="s">
        <v>634</v>
      </c>
      <c r="D101" s="5" t="s">
        <v>479</v>
      </c>
      <c r="E101" s="5" t="s">
        <v>469</v>
      </c>
      <c r="F101" s="5" t="s">
        <v>543</v>
      </c>
      <c r="G101" s="5" t="s">
        <v>151</v>
      </c>
      <c r="H101" s="5" t="s">
        <v>208</v>
      </c>
      <c r="I101" s="5" t="s">
        <v>544</v>
      </c>
      <c r="J101" s="5" t="s">
        <v>49</v>
      </c>
      <c r="K101" s="5" t="s">
        <v>640</v>
      </c>
      <c r="L101" s="5" t="s">
        <v>210</v>
      </c>
      <c r="M101" s="6" t="s">
        <v>104</v>
      </c>
      <c r="N101" s="6"/>
      <c r="O101" s="6"/>
    </row>
    <row r="102" spans="1:15" ht="38.25" customHeight="1">
      <c r="A102" s="5" t="s">
        <v>641</v>
      </c>
      <c r="B102" s="5" t="s">
        <v>391</v>
      </c>
      <c r="C102" s="5" t="s">
        <v>642</v>
      </c>
      <c r="D102" s="5" t="s">
        <v>643</v>
      </c>
      <c r="E102" s="5" t="s">
        <v>644</v>
      </c>
      <c r="F102" s="5"/>
      <c r="G102" s="5"/>
      <c r="H102" s="5"/>
      <c r="I102" s="5"/>
      <c r="J102" s="5" t="s">
        <v>144</v>
      </c>
      <c r="K102" s="5" t="s">
        <v>645</v>
      </c>
      <c r="L102" s="5" t="s">
        <v>477</v>
      </c>
      <c r="M102" s="6" t="s">
        <v>104</v>
      </c>
      <c r="N102" s="6"/>
      <c r="O102" s="6"/>
    </row>
    <row r="103" spans="1:15" ht="38.25" customHeight="1">
      <c r="A103" s="5" t="s">
        <v>646</v>
      </c>
      <c r="B103" s="5" t="s">
        <v>391</v>
      </c>
      <c r="C103" s="5" t="s">
        <v>642</v>
      </c>
      <c r="D103" s="5" t="s">
        <v>553</v>
      </c>
      <c r="E103" s="5" t="s">
        <v>647</v>
      </c>
      <c r="F103" s="5" t="s">
        <v>648</v>
      </c>
      <c r="G103" s="5" t="s">
        <v>142</v>
      </c>
      <c r="H103" s="5" t="s">
        <v>649</v>
      </c>
      <c r="I103" s="5"/>
      <c r="J103" s="5" t="s">
        <v>144</v>
      </c>
      <c r="K103" s="5" t="s">
        <v>650</v>
      </c>
      <c r="L103" s="5" t="s">
        <v>492</v>
      </c>
      <c r="M103" s="6" t="s">
        <v>104</v>
      </c>
      <c r="N103" s="6"/>
      <c r="O103" s="6"/>
    </row>
    <row r="104" spans="1:15" ht="216.75" customHeight="1">
      <c r="A104" s="5" t="s">
        <v>651</v>
      </c>
      <c r="B104" s="5" t="s">
        <v>652</v>
      </c>
      <c r="C104" s="5" t="s">
        <v>653</v>
      </c>
      <c r="D104" s="5" t="s">
        <v>582</v>
      </c>
      <c r="E104" s="5" t="s">
        <v>654</v>
      </c>
      <c r="F104" s="5" t="s">
        <v>207</v>
      </c>
      <c r="G104" s="5" t="s">
        <v>655</v>
      </c>
      <c r="H104" s="5" t="s">
        <v>208</v>
      </c>
      <c r="I104" s="5" t="s">
        <v>202</v>
      </c>
      <c r="J104" s="5" t="s">
        <v>144</v>
      </c>
      <c r="K104" s="5" t="s">
        <v>656</v>
      </c>
      <c r="L104" s="5" t="s">
        <v>311</v>
      </c>
      <c r="M104" s="6" t="s">
        <v>104</v>
      </c>
      <c r="N104" s="6" t="s">
        <v>657</v>
      </c>
      <c r="O104" s="6" t="s">
        <v>658</v>
      </c>
    </row>
    <row r="105" spans="1:15" ht="63.75" customHeight="1">
      <c r="A105" s="5" t="s">
        <v>659</v>
      </c>
      <c r="B105" s="5" t="s">
        <v>652</v>
      </c>
      <c r="C105" s="5" t="s">
        <v>653</v>
      </c>
      <c r="D105" s="5" t="s">
        <v>198</v>
      </c>
      <c r="E105" s="5" t="s">
        <v>660</v>
      </c>
      <c r="F105" s="5" t="s">
        <v>207</v>
      </c>
      <c r="G105" s="5" t="s">
        <v>142</v>
      </c>
      <c r="H105" s="5" t="s">
        <v>208</v>
      </c>
      <c r="I105" s="5" t="s">
        <v>202</v>
      </c>
      <c r="J105" s="5" t="s">
        <v>144</v>
      </c>
      <c r="K105" s="5" t="s">
        <v>661</v>
      </c>
      <c r="L105" s="5" t="s">
        <v>472</v>
      </c>
      <c r="M105" s="6" t="s">
        <v>104</v>
      </c>
      <c r="N105" s="6"/>
      <c r="O105" s="6"/>
    </row>
    <row r="106" spans="1:15" ht="38.25" customHeight="1">
      <c r="A106" s="5" t="s">
        <v>662</v>
      </c>
      <c r="B106" s="5" t="s">
        <v>652</v>
      </c>
      <c r="C106" s="5" t="s">
        <v>653</v>
      </c>
      <c r="D106" s="5" t="s">
        <v>582</v>
      </c>
      <c r="E106" s="5" t="s">
        <v>663</v>
      </c>
      <c r="F106" s="5" t="s">
        <v>207</v>
      </c>
      <c r="G106" s="5" t="s">
        <v>142</v>
      </c>
      <c r="H106" s="5" t="s">
        <v>208</v>
      </c>
      <c r="I106" s="5" t="s">
        <v>202</v>
      </c>
      <c r="J106" s="5" t="s">
        <v>144</v>
      </c>
      <c r="K106" s="5" t="s">
        <v>664</v>
      </c>
      <c r="L106" s="5" t="s">
        <v>178</v>
      </c>
      <c r="M106" s="6" t="s">
        <v>104</v>
      </c>
      <c r="N106" s="6"/>
      <c r="O106" s="6"/>
    </row>
    <row r="107" spans="1:15" ht="38.25" customHeight="1">
      <c r="A107" s="5" t="s">
        <v>665</v>
      </c>
      <c r="B107" s="5" t="s">
        <v>652</v>
      </c>
      <c r="C107" s="5" t="s">
        <v>653</v>
      </c>
      <c r="D107" s="5" t="s">
        <v>198</v>
      </c>
      <c r="E107" s="5" t="s">
        <v>666</v>
      </c>
      <c r="F107" s="5" t="s">
        <v>207</v>
      </c>
      <c r="G107" s="5" t="s">
        <v>655</v>
      </c>
      <c r="H107" s="5" t="s">
        <v>208</v>
      </c>
      <c r="I107" s="5" t="s">
        <v>202</v>
      </c>
      <c r="J107" s="5" t="s">
        <v>144</v>
      </c>
      <c r="K107" s="5" t="s">
        <v>667</v>
      </c>
      <c r="L107" s="5" t="s">
        <v>668</v>
      </c>
      <c r="M107" s="6" t="s">
        <v>104</v>
      </c>
      <c r="N107" s="6" t="s">
        <v>657</v>
      </c>
      <c r="O107" s="6" t="s">
        <v>669</v>
      </c>
    </row>
    <row r="108" spans="1:15" ht="63.75" customHeight="1">
      <c r="A108" s="5" t="s">
        <v>670</v>
      </c>
      <c r="B108" s="5" t="s">
        <v>652</v>
      </c>
      <c r="C108" s="5" t="s">
        <v>653</v>
      </c>
      <c r="D108" s="5" t="s">
        <v>671</v>
      </c>
      <c r="E108" s="5" t="s">
        <v>672</v>
      </c>
      <c r="F108" s="5" t="s">
        <v>163</v>
      </c>
      <c r="G108" s="5" t="s">
        <v>142</v>
      </c>
      <c r="H108" s="5" t="s">
        <v>143</v>
      </c>
      <c r="I108" s="5" t="s">
        <v>56</v>
      </c>
      <c r="J108" s="5" t="s">
        <v>144</v>
      </c>
      <c r="K108" s="5" t="s">
        <v>673</v>
      </c>
      <c r="L108" s="5" t="s">
        <v>674</v>
      </c>
      <c r="M108" s="6" t="s">
        <v>211</v>
      </c>
      <c r="N108" s="6" t="s">
        <v>675</v>
      </c>
      <c r="O108" s="6" t="s">
        <v>676</v>
      </c>
    </row>
    <row r="109" spans="1:15" ht="25.5" customHeight="1">
      <c r="A109" s="5" t="s">
        <v>677</v>
      </c>
      <c r="B109" s="5" t="s">
        <v>652</v>
      </c>
      <c r="C109" s="5" t="s">
        <v>653</v>
      </c>
      <c r="D109" s="5" t="s">
        <v>220</v>
      </c>
      <c r="E109" s="5" t="s">
        <v>678</v>
      </c>
      <c r="F109" s="5" t="s">
        <v>679</v>
      </c>
      <c r="G109" s="5" t="s">
        <v>142</v>
      </c>
      <c r="H109" s="5" t="s">
        <v>680</v>
      </c>
      <c r="I109" s="5" t="s">
        <v>225</v>
      </c>
      <c r="J109" s="5" t="s">
        <v>144</v>
      </c>
      <c r="K109" s="5" t="s">
        <v>681</v>
      </c>
      <c r="L109" s="5" t="s">
        <v>682</v>
      </c>
      <c r="M109" s="6" t="s">
        <v>104</v>
      </c>
      <c r="N109" s="6"/>
      <c r="O109" s="6"/>
    </row>
    <row r="110" spans="1:15">
      <c r="A110" s="5" t="s">
        <v>683</v>
      </c>
      <c r="B110" s="5" t="s">
        <v>137</v>
      </c>
      <c r="C110" s="5" t="s">
        <v>138</v>
      </c>
      <c r="D110" s="10" t="s">
        <v>536</v>
      </c>
      <c r="E110" s="5" t="s">
        <v>684</v>
      </c>
      <c r="F110" s="5" t="s">
        <v>158</v>
      </c>
      <c r="G110" s="5" t="s">
        <v>142</v>
      </c>
      <c r="H110" s="5" t="s">
        <v>143</v>
      </c>
      <c r="I110" s="5" t="s">
        <v>51</v>
      </c>
      <c r="J110" s="5" t="s">
        <v>144</v>
      </c>
      <c r="K110" s="5" t="s">
        <v>685</v>
      </c>
      <c r="L110" s="5" t="s">
        <v>325</v>
      </c>
      <c r="M110" s="6" t="s">
        <v>686</v>
      </c>
      <c r="N110" s="11" t="s">
        <v>687</v>
      </c>
      <c r="O110" s="11" t="s">
        <v>688</v>
      </c>
    </row>
    <row r="111" spans="1:15" ht="114.75" customHeight="1">
      <c r="A111" s="5" t="s">
        <v>689</v>
      </c>
      <c r="B111" s="5" t="s">
        <v>137</v>
      </c>
      <c r="C111" s="5" t="s">
        <v>138</v>
      </c>
      <c r="D111" s="10" t="s">
        <v>198</v>
      </c>
      <c r="E111" s="5" t="s">
        <v>690</v>
      </c>
      <c r="F111" s="5"/>
      <c r="G111" s="5"/>
      <c r="H111" s="5"/>
      <c r="I111" s="5"/>
      <c r="J111" s="5" t="s">
        <v>144</v>
      </c>
      <c r="K111" s="5" t="s">
        <v>691</v>
      </c>
      <c r="L111" s="5" t="s">
        <v>172</v>
      </c>
      <c r="M111" s="6" t="s">
        <v>686</v>
      </c>
      <c r="N111" s="11" t="s">
        <v>687</v>
      </c>
      <c r="O111" s="11" t="s">
        <v>692</v>
      </c>
    </row>
    <row r="112" spans="1:15" ht="63.75" customHeight="1">
      <c r="A112" s="5" t="s">
        <v>693</v>
      </c>
      <c r="B112" s="5" t="s">
        <v>137</v>
      </c>
      <c r="C112" s="5" t="s">
        <v>138</v>
      </c>
      <c r="D112" s="10" t="s">
        <v>577</v>
      </c>
      <c r="E112" s="5" t="s">
        <v>671</v>
      </c>
      <c r="F112" s="5" t="s">
        <v>163</v>
      </c>
      <c r="G112" s="5" t="s">
        <v>142</v>
      </c>
      <c r="H112" s="5" t="s">
        <v>143</v>
      </c>
      <c r="I112" s="5" t="s">
        <v>56</v>
      </c>
      <c r="J112" s="5" t="s">
        <v>144</v>
      </c>
      <c r="K112" s="5" t="s">
        <v>694</v>
      </c>
      <c r="L112" s="5" t="s">
        <v>695</v>
      </c>
      <c r="M112" s="6" t="s">
        <v>686</v>
      </c>
      <c r="N112" s="11" t="s">
        <v>687</v>
      </c>
      <c r="O112" s="11" t="s">
        <v>696</v>
      </c>
    </row>
    <row r="113" spans="1:15" ht="89.25" customHeight="1">
      <c r="A113" s="5" t="s">
        <v>697</v>
      </c>
      <c r="B113" s="5" t="s">
        <v>137</v>
      </c>
      <c r="C113" s="5" t="s">
        <v>138</v>
      </c>
      <c r="D113" s="10" t="s">
        <v>237</v>
      </c>
      <c r="E113" s="5" t="s">
        <v>698</v>
      </c>
      <c r="F113" s="5" t="s">
        <v>699</v>
      </c>
      <c r="G113" s="5" t="s">
        <v>223</v>
      </c>
      <c r="H113" s="5" t="s">
        <v>240</v>
      </c>
      <c r="I113" s="5" t="s">
        <v>176</v>
      </c>
      <c r="J113" s="5" t="s">
        <v>144</v>
      </c>
      <c r="K113" s="5" t="s">
        <v>700</v>
      </c>
      <c r="L113" s="5" t="s">
        <v>701</v>
      </c>
      <c r="M113" s="6" t="s">
        <v>686</v>
      </c>
      <c r="N113" s="11" t="s">
        <v>687</v>
      </c>
      <c r="O113" s="11" t="s">
        <v>702</v>
      </c>
    </row>
    <row r="114" spans="1:15" ht="63.75" customHeight="1">
      <c r="A114" s="5" t="s">
        <v>703</v>
      </c>
      <c r="B114" s="5" t="s">
        <v>137</v>
      </c>
      <c r="C114" s="5" t="s">
        <v>138</v>
      </c>
      <c r="D114" s="10" t="s">
        <v>198</v>
      </c>
      <c r="E114" s="5" t="s">
        <v>704</v>
      </c>
      <c r="F114" s="5" t="s">
        <v>169</v>
      </c>
      <c r="G114" s="5" t="s">
        <v>142</v>
      </c>
      <c r="H114" s="5" t="s">
        <v>143</v>
      </c>
      <c r="I114" s="5" t="s">
        <v>170</v>
      </c>
      <c r="J114" s="5" t="s">
        <v>144</v>
      </c>
      <c r="K114" s="5" t="s">
        <v>705</v>
      </c>
      <c r="L114" s="5" t="s">
        <v>706</v>
      </c>
      <c r="M114" s="6" t="s">
        <v>686</v>
      </c>
      <c r="N114" s="11" t="s">
        <v>687</v>
      </c>
      <c r="O114" s="11" t="s">
        <v>707</v>
      </c>
    </row>
  </sheetData>
  <autoFilter ref="A1:O109" xr:uid="{00000000-0009-0000-0000-000003000000}"/>
  <dataValidations count="1">
    <dataValidation type="list" allowBlank="1" sqref="M2:M114" xr:uid="{00000000-0002-0000-0300-000000000000}">
      <formula1>"S,N"</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2"/>
  <sheetViews>
    <sheetView zoomScaleNormal="100" workbookViewId="0">
      <pane xSplit="2" ySplit="1" topLeftCell="C2" activePane="bottomRight" state="frozen"/>
      <selection pane="bottomRight" activeCell="D2" sqref="D2:D15"/>
      <selection pane="bottomLeft" activeCell="A2" sqref="A2"/>
      <selection pane="topRight" activeCell="C1" sqref="C1"/>
    </sheetView>
  </sheetViews>
  <sheetFormatPr defaultColWidth="8.7109375" defaultRowHeight="15"/>
  <cols>
    <col min="1" max="1" width="9" customWidth="1"/>
    <col min="2" max="2" width="54" customWidth="1"/>
    <col min="3" max="3" width="11.7109375" customWidth="1"/>
    <col min="4" max="4" width="49.5703125" customWidth="1"/>
    <col min="5" max="7" width="54" customWidth="1"/>
    <col min="8" max="8" width="9" customWidth="1"/>
    <col min="9" max="9" width="12.5703125" customWidth="1"/>
    <col min="10" max="10" width="18" customWidth="1"/>
    <col min="11" max="11" width="37.85546875" customWidth="1"/>
    <col min="12" max="12" width="10.85546875" customWidth="1"/>
    <col min="13" max="13" width="54" customWidth="1"/>
    <col min="14" max="14" width="13.42578125" customWidth="1"/>
    <col min="15" max="16" width="9" customWidth="1"/>
    <col min="17" max="18" width="10.85546875" customWidth="1"/>
  </cols>
  <sheetData>
    <row r="1" spans="1:18">
      <c r="A1" s="3" t="s">
        <v>22</v>
      </c>
      <c r="B1" s="3" t="s">
        <v>708</v>
      </c>
      <c r="C1" s="3" t="s">
        <v>709</v>
      </c>
      <c r="D1" s="3" t="s">
        <v>710</v>
      </c>
      <c r="E1" s="3" t="s">
        <v>711</v>
      </c>
      <c r="F1" s="3" t="s">
        <v>712</v>
      </c>
      <c r="G1" s="3" t="s">
        <v>713</v>
      </c>
      <c r="H1" s="3" t="s">
        <v>714</v>
      </c>
      <c r="I1" s="3" t="s">
        <v>715</v>
      </c>
      <c r="J1" s="3" t="s">
        <v>716</v>
      </c>
      <c r="K1" s="3" t="s">
        <v>717</v>
      </c>
      <c r="L1" s="3" t="s">
        <v>718</v>
      </c>
      <c r="M1" s="3" t="s">
        <v>719</v>
      </c>
      <c r="N1" s="3" t="s">
        <v>720</v>
      </c>
      <c r="O1" s="3" t="s">
        <v>135</v>
      </c>
      <c r="P1" s="4" t="s">
        <v>31</v>
      </c>
      <c r="Q1" s="4" t="s">
        <v>32</v>
      </c>
      <c r="R1" s="4" t="s">
        <v>33</v>
      </c>
    </row>
    <row r="2" spans="1:18" ht="25.5" customHeight="1">
      <c r="A2" s="5" t="s">
        <v>721</v>
      </c>
      <c r="B2" s="5" t="s">
        <v>722</v>
      </c>
      <c r="C2" s="5" t="s">
        <v>46</v>
      </c>
      <c r="D2" s="12" t="s">
        <v>723</v>
      </c>
      <c r="E2" s="5" t="s">
        <v>724</v>
      </c>
      <c r="F2" s="5" t="s">
        <v>725</v>
      </c>
      <c r="G2" s="5" t="s">
        <v>726</v>
      </c>
      <c r="H2" s="5" t="s">
        <v>686</v>
      </c>
      <c r="I2" s="5" t="s">
        <v>727</v>
      </c>
      <c r="J2" s="5" t="s">
        <v>58</v>
      </c>
      <c r="K2" s="5" t="s">
        <v>728</v>
      </c>
      <c r="L2" s="5" t="s">
        <v>729</v>
      </c>
      <c r="M2" s="5" t="s">
        <v>730</v>
      </c>
      <c r="N2" s="5">
        <v>500</v>
      </c>
      <c r="O2" s="5" t="s">
        <v>731</v>
      </c>
      <c r="P2" s="6"/>
      <c r="Q2" s="6"/>
      <c r="R2" s="6"/>
    </row>
    <row r="3" spans="1:18" ht="25.5" customHeight="1">
      <c r="A3" s="5" t="s">
        <v>47</v>
      </c>
      <c r="B3" s="5" t="s">
        <v>722</v>
      </c>
      <c r="C3" s="5" t="s">
        <v>46</v>
      </c>
      <c r="D3" s="12" t="s">
        <v>723</v>
      </c>
      <c r="E3" s="5" t="s">
        <v>724</v>
      </c>
      <c r="F3" s="5" t="s">
        <v>732</v>
      </c>
      <c r="G3" s="5" t="s">
        <v>733</v>
      </c>
      <c r="H3" s="5" t="s">
        <v>104</v>
      </c>
      <c r="I3" s="5" t="s">
        <v>734</v>
      </c>
      <c r="J3" s="5" t="s">
        <v>36</v>
      </c>
      <c r="K3" s="5" t="s">
        <v>735</v>
      </c>
      <c r="L3" s="5" t="s">
        <v>736</v>
      </c>
      <c r="M3" s="5" t="s">
        <v>737</v>
      </c>
      <c r="N3" s="5">
        <v>16000</v>
      </c>
      <c r="O3" s="5" t="s">
        <v>738</v>
      </c>
      <c r="P3" s="6"/>
      <c r="Q3" s="6"/>
      <c r="R3" s="6"/>
    </row>
    <row r="4" spans="1:18" ht="51" customHeight="1">
      <c r="A4" s="5" t="s">
        <v>739</v>
      </c>
      <c r="B4" s="5" t="s">
        <v>722</v>
      </c>
      <c r="C4" s="5" t="s">
        <v>46</v>
      </c>
      <c r="D4" s="12" t="s">
        <v>723</v>
      </c>
      <c r="E4" s="5" t="s">
        <v>740</v>
      </c>
      <c r="F4" s="5" t="s">
        <v>741</v>
      </c>
      <c r="G4" s="5" t="s">
        <v>742</v>
      </c>
      <c r="H4" s="5" t="s">
        <v>104</v>
      </c>
      <c r="I4" s="5" t="s">
        <v>734</v>
      </c>
      <c r="J4" s="5" t="s">
        <v>36</v>
      </c>
      <c r="K4" s="5" t="s">
        <v>735</v>
      </c>
      <c r="L4" s="5" t="s">
        <v>729</v>
      </c>
      <c r="M4" s="5" t="s">
        <v>743</v>
      </c>
      <c r="N4" s="5">
        <v>500</v>
      </c>
      <c r="O4" s="5" t="s">
        <v>744</v>
      </c>
      <c r="P4" s="6"/>
      <c r="Q4" s="6"/>
      <c r="R4" s="6"/>
    </row>
    <row r="5" spans="1:18" ht="25.5" customHeight="1">
      <c r="A5" s="5" t="s">
        <v>745</v>
      </c>
      <c r="B5" s="5" t="s">
        <v>722</v>
      </c>
      <c r="C5" s="5" t="s">
        <v>46</v>
      </c>
      <c r="D5" s="12" t="s">
        <v>723</v>
      </c>
      <c r="E5" s="5" t="s">
        <v>740</v>
      </c>
      <c r="F5" s="5" t="s">
        <v>746</v>
      </c>
      <c r="G5" s="5" t="s">
        <v>747</v>
      </c>
      <c r="H5" s="5" t="s">
        <v>686</v>
      </c>
      <c r="I5" s="5" t="s">
        <v>727</v>
      </c>
      <c r="J5" s="5" t="s">
        <v>58</v>
      </c>
      <c r="K5" s="5" t="s">
        <v>728</v>
      </c>
      <c r="L5" s="5" t="s">
        <v>729</v>
      </c>
      <c r="M5" s="5" t="s">
        <v>748</v>
      </c>
      <c r="N5" s="5">
        <v>500</v>
      </c>
      <c r="O5" s="5" t="s">
        <v>749</v>
      </c>
      <c r="P5" s="6"/>
      <c r="Q5" s="6"/>
      <c r="R5" s="6"/>
    </row>
    <row r="6" spans="1:18" ht="25.5" customHeight="1">
      <c r="A6" s="5" t="s">
        <v>750</v>
      </c>
      <c r="B6" s="5" t="s">
        <v>722</v>
      </c>
      <c r="C6" s="5" t="s">
        <v>46</v>
      </c>
      <c r="D6" s="12" t="s">
        <v>723</v>
      </c>
      <c r="E6" s="5" t="s">
        <v>740</v>
      </c>
      <c r="F6" s="5" t="s">
        <v>751</v>
      </c>
      <c r="G6" s="5" t="s">
        <v>752</v>
      </c>
      <c r="H6" s="5" t="s">
        <v>686</v>
      </c>
      <c r="I6" s="5" t="s">
        <v>727</v>
      </c>
      <c r="J6" s="5" t="s">
        <v>58</v>
      </c>
      <c r="K6" s="5" t="s">
        <v>728</v>
      </c>
      <c r="L6" s="5" t="s">
        <v>729</v>
      </c>
      <c r="M6" s="5" t="s">
        <v>730</v>
      </c>
      <c r="N6" s="5">
        <v>500</v>
      </c>
      <c r="O6" s="5" t="s">
        <v>753</v>
      </c>
      <c r="P6" s="6"/>
      <c r="Q6" s="6"/>
      <c r="R6" s="6"/>
    </row>
    <row r="7" spans="1:18" ht="38.25" customHeight="1">
      <c r="A7" s="5" t="s">
        <v>754</v>
      </c>
      <c r="B7" s="5" t="s">
        <v>722</v>
      </c>
      <c r="C7" s="5" t="s">
        <v>46</v>
      </c>
      <c r="D7" s="12" t="s">
        <v>723</v>
      </c>
      <c r="E7" s="5" t="s">
        <v>740</v>
      </c>
      <c r="F7" s="5" t="s">
        <v>755</v>
      </c>
      <c r="G7" s="5" t="s">
        <v>756</v>
      </c>
      <c r="H7" s="5" t="s">
        <v>104</v>
      </c>
      <c r="I7" s="5" t="s">
        <v>727</v>
      </c>
      <c r="J7" s="5" t="s">
        <v>757</v>
      </c>
      <c r="K7" s="5" t="s">
        <v>758</v>
      </c>
      <c r="L7" s="5" t="s">
        <v>729</v>
      </c>
      <c r="M7" s="5" t="s">
        <v>759</v>
      </c>
      <c r="N7" s="5"/>
      <c r="O7" s="5" t="s">
        <v>760</v>
      </c>
      <c r="P7" s="6"/>
      <c r="Q7" s="6"/>
      <c r="R7" s="6"/>
    </row>
    <row r="8" spans="1:18" ht="25.5" customHeight="1">
      <c r="A8" s="5" t="s">
        <v>761</v>
      </c>
      <c r="B8" s="5" t="s">
        <v>722</v>
      </c>
      <c r="C8" s="5" t="s">
        <v>46</v>
      </c>
      <c r="D8" s="12" t="s">
        <v>723</v>
      </c>
      <c r="E8" s="5" t="s">
        <v>740</v>
      </c>
      <c r="F8" s="5" t="s">
        <v>762</v>
      </c>
      <c r="G8" s="5" t="s">
        <v>763</v>
      </c>
      <c r="H8" s="5" t="s">
        <v>104</v>
      </c>
      <c r="I8" s="5" t="s">
        <v>727</v>
      </c>
      <c r="J8" s="5" t="s">
        <v>757</v>
      </c>
      <c r="K8" s="5" t="s">
        <v>758</v>
      </c>
      <c r="L8" s="5" t="s">
        <v>729</v>
      </c>
      <c r="M8" s="5" t="s">
        <v>748</v>
      </c>
      <c r="N8" s="5">
        <v>500</v>
      </c>
      <c r="O8" s="5" t="s">
        <v>764</v>
      </c>
      <c r="P8" s="6"/>
      <c r="Q8" s="6"/>
      <c r="R8" s="6"/>
    </row>
    <row r="9" spans="1:18" ht="38.25" customHeight="1">
      <c r="A9" s="5" t="s">
        <v>765</v>
      </c>
      <c r="B9" s="5" t="s">
        <v>722</v>
      </c>
      <c r="C9" s="5" t="s">
        <v>46</v>
      </c>
      <c r="D9" s="12" t="s">
        <v>723</v>
      </c>
      <c r="E9" s="5" t="s">
        <v>740</v>
      </c>
      <c r="F9" s="5" t="s">
        <v>766</v>
      </c>
      <c r="G9" s="5" t="s">
        <v>767</v>
      </c>
      <c r="H9" s="5" t="s">
        <v>104</v>
      </c>
      <c r="I9" s="5" t="s">
        <v>734</v>
      </c>
      <c r="J9" s="5" t="s">
        <v>36</v>
      </c>
      <c r="K9" s="5" t="s">
        <v>735</v>
      </c>
      <c r="L9" s="5" t="s">
        <v>736</v>
      </c>
      <c r="M9" s="5" t="s">
        <v>768</v>
      </c>
      <c r="N9" s="5">
        <v>500</v>
      </c>
      <c r="O9" s="5" t="s">
        <v>769</v>
      </c>
      <c r="P9" s="6"/>
      <c r="Q9" s="6"/>
      <c r="R9" s="6"/>
    </row>
    <row r="10" spans="1:18" ht="25.5" customHeight="1">
      <c r="A10" s="5" t="s">
        <v>770</v>
      </c>
      <c r="B10" s="5" t="s">
        <v>722</v>
      </c>
      <c r="C10" s="5" t="s">
        <v>46</v>
      </c>
      <c r="D10" s="12" t="s">
        <v>723</v>
      </c>
      <c r="E10" s="5" t="s">
        <v>740</v>
      </c>
      <c r="F10" s="5" t="s">
        <v>771</v>
      </c>
      <c r="G10" s="5" t="s">
        <v>772</v>
      </c>
      <c r="H10" s="5" t="s">
        <v>686</v>
      </c>
      <c r="I10" s="5" t="s">
        <v>727</v>
      </c>
      <c r="J10" s="5" t="s">
        <v>58</v>
      </c>
      <c r="K10" s="5" t="s">
        <v>728</v>
      </c>
      <c r="L10" s="5" t="s">
        <v>736</v>
      </c>
      <c r="M10" s="5" t="s">
        <v>773</v>
      </c>
      <c r="N10" s="5">
        <v>500</v>
      </c>
      <c r="O10" s="5" t="s">
        <v>774</v>
      </c>
      <c r="P10" s="6"/>
      <c r="Q10" s="6"/>
      <c r="R10" s="6"/>
    </row>
    <row r="11" spans="1:18" ht="25.5" customHeight="1">
      <c r="A11" s="5" t="s">
        <v>775</v>
      </c>
      <c r="B11" s="5" t="s">
        <v>722</v>
      </c>
      <c r="C11" s="5" t="s">
        <v>46</v>
      </c>
      <c r="D11" s="12" t="s">
        <v>723</v>
      </c>
      <c r="E11" s="5" t="s">
        <v>740</v>
      </c>
      <c r="F11" s="5" t="s">
        <v>776</v>
      </c>
      <c r="G11" s="5" t="s">
        <v>777</v>
      </c>
      <c r="H11" s="5" t="s">
        <v>686</v>
      </c>
      <c r="I11" s="5" t="s">
        <v>727</v>
      </c>
      <c r="J11" s="5" t="s">
        <v>58</v>
      </c>
      <c r="K11" s="5" t="s">
        <v>728</v>
      </c>
      <c r="L11" s="5" t="s">
        <v>736</v>
      </c>
      <c r="M11" s="5" t="s">
        <v>778</v>
      </c>
      <c r="N11" s="5">
        <v>500</v>
      </c>
      <c r="O11" s="5" t="s">
        <v>779</v>
      </c>
      <c r="P11" s="6"/>
      <c r="Q11" s="6"/>
      <c r="R11" s="6"/>
    </row>
    <row r="12" spans="1:18" ht="38.25" customHeight="1">
      <c r="A12" s="5" t="s">
        <v>780</v>
      </c>
      <c r="B12" s="5" t="s">
        <v>722</v>
      </c>
      <c r="C12" s="5" t="s">
        <v>46</v>
      </c>
      <c r="D12" s="12" t="s">
        <v>723</v>
      </c>
      <c r="E12" s="5" t="s">
        <v>740</v>
      </c>
      <c r="F12" s="5" t="s">
        <v>781</v>
      </c>
      <c r="G12" s="5" t="s">
        <v>782</v>
      </c>
      <c r="H12" s="5" t="s">
        <v>104</v>
      </c>
      <c r="I12" s="5" t="s">
        <v>783</v>
      </c>
      <c r="J12" s="5" t="s">
        <v>78</v>
      </c>
      <c r="K12" s="5" t="s">
        <v>784</v>
      </c>
      <c r="L12" s="5" t="s">
        <v>729</v>
      </c>
      <c r="M12" s="5" t="s">
        <v>748</v>
      </c>
      <c r="N12" s="5">
        <v>250</v>
      </c>
      <c r="O12" s="5" t="s">
        <v>785</v>
      </c>
      <c r="P12" s="6"/>
      <c r="Q12" s="6"/>
      <c r="R12" s="6"/>
    </row>
    <row r="13" spans="1:18" ht="25.5" customHeight="1">
      <c r="A13" s="5" t="s">
        <v>786</v>
      </c>
      <c r="B13" s="5" t="s">
        <v>722</v>
      </c>
      <c r="C13" s="5" t="s">
        <v>46</v>
      </c>
      <c r="D13" s="12" t="s">
        <v>723</v>
      </c>
      <c r="E13" s="5" t="s">
        <v>740</v>
      </c>
      <c r="F13" s="5" t="s">
        <v>787</v>
      </c>
      <c r="G13" s="5" t="s">
        <v>788</v>
      </c>
      <c r="H13" s="5" t="s">
        <v>686</v>
      </c>
      <c r="I13" s="5" t="s">
        <v>727</v>
      </c>
      <c r="J13" s="5" t="s">
        <v>58</v>
      </c>
      <c r="K13" s="5" t="s">
        <v>728</v>
      </c>
      <c r="L13" s="5" t="s">
        <v>729</v>
      </c>
      <c r="M13" s="5" t="s">
        <v>789</v>
      </c>
      <c r="N13" s="5">
        <v>500</v>
      </c>
      <c r="O13" s="5" t="s">
        <v>790</v>
      </c>
      <c r="P13" s="6"/>
      <c r="Q13" s="6"/>
      <c r="R13" s="6"/>
    </row>
    <row r="14" spans="1:18" ht="25.5" customHeight="1">
      <c r="A14" s="5" t="s">
        <v>791</v>
      </c>
      <c r="B14" s="5" t="s">
        <v>722</v>
      </c>
      <c r="C14" s="5" t="s">
        <v>46</v>
      </c>
      <c r="D14" s="12" t="s">
        <v>723</v>
      </c>
      <c r="E14" s="5" t="s">
        <v>740</v>
      </c>
      <c r="F14" s="5" t="s">
        <v>792</v>
      </c>
      <c r="G14" s="5" t="s">
        <v>793</v>
      </c>
      <c r="H14" s="5" t="s">
        <v>686</v>
      </c>
      <c r="I14" s="5" t="s">
        <v>727</v>
      </c>
      <c r="J14" s="5" t="s">
        <v>58</v>
      </c>
      <c r="K14" s="5" t="s">
        <v>728</v>
      </c>
      <c r="L14" s="5" t="s">
        <v>736</v>
      </c>
      <c r="M14" s="5" t="s">
        <v>794</v>
      </c>
      <c r="N14" s="5">
        <v>2000</v>
      </c>
      <c r="O14" s="5" t="s">
        <v>795</v>
      </c>
      <c r="P14" s="6"/>
      <c r="Q14" s="6"/>
      <c r="R14" s="6"/>
    </row>
    <row r="15" spans="1:18" ht="25.5" customHeight="1">
      <c r="A15" s="5" t="s">
        <v>796</v>
      </c>
      <c r="B15" s="5" t="s">
        <v>722</v>
      </c>
      <c r="C15" s="5" t="s">
        <v>46</v>
      </c>
      <c r="D15" s="12" t="s">
        <v>723</v>
      </c>
      <c r="E15" s="5" t="s">
        <v>740</v>
      </c>
      <c r="F15" s="5" t="s">
        <v>797</v>
      </c>
      <c r="G15" s="5" t="s">
        <v>798</v>
      </c>
      <c r="H15" s="5" t="s">
        <v>104</v>
      </c>
      <c r="I15" s="5" t="s">
        <v>727</v>
      </c>
      <c r="J15" s="5" t="s">
        <v>757</v>
      </c>
      <c r="K15" s="5" t="s">
        <v>758</v>
      </c>
      <c r="L15" s="5" t="s">
        <v>729</v>
      </c>
      <c r="M15" s="5" t="s">
        <v>748</v>
      </c>
      <c r="N15" s="5">
        <v>250</v>
      </c>
      <c r="O15" s="5" t="s">
        <v>799</v>
      </c>
      <c r="P15" s="6"/>
      <c r="Q15" s="6"/>
      <c r="R15" s="6"/>
    </row>
    <row r="16" spans="1:18" ht="25.5" customHeight="1">
      <c r="A16" s="5" t="s">
        <v>800</v>
      </c>
      <c r="B16" s="5" t="s">
        <v>801</v>
      </c>
      <c r="C16" s="5" t="s">
        <v>802</v>
      </c>
      <c r="D16" s="5" t="s">
        <v>803</v>
      </c>
      <c r="E16" s="5" t="s">
        <v>804</v>
      </c>
      <c r="F16" s="5" t="s">
        <v>805</v>
      </c>
      <c r="G16" s="5" t="s">
        <v>806</v>
      </c>
      <c r="H16" s="5" t="s">
        <v>686</v>
      </c>
      <c r="I16" s="5" t="s">
        <v>727</v>
      </c>
      <c r="J16" s="5" t="s">
        <v>58</v>
      </c>
      <c r="K16" s="5" t="s">
        <v>728</v>
      </c>
      <c r="L16" s="5" t="s">
        <v>729</v>
      </c>
      <c r="M16" s="5" t="s">
        <v>807</v>
      </c>
      <c r="N16" s="5">
        <v>500</v>
      </c>
      <c r="O16" s="5" t="s">
        <v>808</v>
      </c>
      <c r="P16" s="6"/>
      <c r="Q16" s="6"/>
      <c r="R16" s="6"/>
    </row>
    <row r="17" spans="1:18" ht="25.5" customHeight="1">
      <c r="A17" s="5" t="s">
        <v>809</v>
      </c>
      <c r="B17" s="5" t="s">
        <v>801</v>
      </c>
      <c r="C17" s="5" t="s">
        <v>802</v>
      </c>
      <c r="D17" s="5" t="s">
        <v>803</v>
      </c>
      <c r="E17" s="5" t="s">
        <v>804</v>
      </c>
      <c r="F17" s="5" t="s">
        <v>810</v>
      </c>
      <c r="G17" s="5" t="s">
        <v>811</v>
      </c>
      <c r="H17" s="5" t="s">
        <v>104</v>
      </c>
      <c r="I17" s="5" t="s">
        <v>734</v>
      </c>
      <c r="J17" s="5" t="s">
        <v>36</v>
      </c>
      <c r="K17" s="5" t="s">
        <v>735</v>
      </c>
      <c r="L17" s="5" t="s">
        <v>729</v>
      </c>
      <c r="M17" s="5" t="s">
        <v>812</v>
      </c>
      <c r="N17" s="5">
        <v>500</v>
      </c>
      <c r="O17" s="5" t="s">
        <v>813</v>
      </c>
      <c r="P17" s="6"/>
      <c r="Q17" s="6"/>
      <c r="R17" s="6"/>
    </row>
    <row r="18" spans="1:18" ht="25.5" customHeight="1">
      <c r="A18" s="5" t="s">
        <v>814</v>
      </c>
      <c r="B18" s="5" t="s">
        <v>801</v>
      </c>
      <c r="C18" s="5" t="s">
        <v>802</v>
      </c>
      <c r="D18" s="5" t="s">
        <v>803</v>
      </c>
      <c r="E18" s="5" t="s">
        <v>804</v>
      </c>
      <c r="F18" s="5" t="s">
        <v>732</v>
      </c>
      <c r="G18" s="5" t="s">
        <v>815</v>
      </c>
      <c r="H18" s="5" t="s">
        <v>104</v>
      </c>
      <c r="I18" s="5" t="s">
        <v>734</v>
      </c>
      <c r="J18" s="5" t="s">
        <v>36</v>
      </c>
      <c r="K18" s="5" t="s">
        <v>735</v>
      </c>
      <c r="L18" s="5" t="s">
        <v>736</v>
      </c>
      <c r="M18" s="5" t="s">
        <v>816</v>
      </c>
      <c r="N18" s="5">
        <v>500</v>
      </c>
      <c r="O18" s="5" t="s">
        <v>817</v>
      </c>
      <c r="P18" s="6"/>
      <c r="Q18" s="6"/>
      <c r="R18" s="6"/>
    </row>
    <row r="19" spans="1:18" ht="38.25" customHeight="1">
      <c r="A19" s="5" t="s">
        <v>818</v>
      </c>
      <c r="B19" s="5" t="s">
        <v>801</v>
      </c>
      <c r="C19" s="5" t="s">
        <v>802</v>
      </c>
      <c r="D19" s="5" t="s">
        <v>803</v>
      </c>
      <c r="E19" s="5" t="s">
        <v>804</v>
      </c>
      <c r="F19" s="5" t="s">
        <v>819</v>
      </c>
      <c r="G19" s="5" t="s">
        <v>820</v>
      </c>
      <c r="H19" s="5" t="s">
        <v>686</v>
      </c>
      <c r="I19" s="5" t="s">
        <v>727</v>
      </c>
      <c r="J19" s="5" t="s">
        <v>58</v>
      </c>
      <c r="K19" s="5" t="s">
        <v>728</v>
      </c>
      <c r="L19" s="5" t="s">
        <v>729</v>
      </c>
      <c r="M19" s="5" t="s">
        <v>821</v>
      </c>
      <c r="N19" s="5">
        <v>500</v>
      </c>
      <c r="O19" s="5" t="s">
        <v>822</v>
      </c>
      <c r="P19" s="6"/>
      <c r="Q19" s="6"/>
      <c r="R19" s="6"/>
    </row>
    <row r="20" spans="1:18" ht="25.5" customHeight="1">
      <c r="A20" s="5" t="s">
        <v>823</v>
      </c>
      <c r="B20" s="5" t="s">
        <v>824</v>
      </c>
      <c r="C20" s="5" t="s">
        <v>825</v>
      </c>
      <c r="D20" s="5" t="s">
        <v>826</v>
      </c>
      <c r="E20" s="5" t="s">
        <v>827</v>
      </c>
      <c r="F20" s="5" t="s">
        <v>828</v>
      </c>
      <c r="G20" s="5" t="s">
        <v>829</v>
      </c>
      <c r="H20" s="5" t="s">
        <v>104</v>
      </c>
      <c r="I20" s="5" t="s">
        <v>734</v>
      </c>
      <c r="J20" s="5" t="s">
        <v>36</v>
      </c>
      <c r="K20" s="5" t="s">
        <v>735</v>
      </c>
      <c r="L20" s="5" t="s">
        <v>736</v>
      </c>
      <c r="M20" s="5" t="s">
        <v>830</v>
      </c>
      <c r="N20" s="5">
        <v>16000</v>
      </c>
      <c r="O20" s="5" t="s">
        <v>831</v>
      </c>
      <c r="P20" s="6"/>
      <c r="Q20" s="6"/>
      <c r="R20" s="6"/>
    </row>
    <row r="21" spans="1:18" ht="38.25" customHeight="1">
      <c r="A21" s="5" t="s">
        <v>832</v>
      </c>
      <c r="B21" s="5" t="s">
        <v>833</v>
      </c>
      <c r="C21" s="5" t="s">
        <v>834</v>
      </c>
      <c r="D21" s="5" t="s">
        <v>835</v>
      </c>
      <c r="E21" s="5" t="s">
        <v>836</v>
      </c>
      <c r="F21" s="5" t="s">
        <v>837</v>
      </c>
      <c r="G21" s="5" t="s">
        <v>838</v>
      </c>
      <c r="H21" s="5" t="s">
        <v>686</v>
      </c>
      <c r="I21" s="5" t="s">
        <v>727</v>
      </c>
      <c r="J21" s="5" t="s">
        <v>58</v>
      </c>
      <c r="K21" s="5" t="s">
        <v>728</v>
      </c>
      <c r="L21" s="5" t="s">
        <v>736</v>
      </c>
      <c r="M21" s="5" t="s">
        <v>839</v>
      </c>
      <c r="N21" s="5">
        <v>250</v>
      </c>
      <c r="O21" s="5" t="s">
        <v>840</v>
      </c>
      <c r="P21" s="6"/>
      <c r="Q21" s="6"/>
      <c r="R21" s="6"/>
    </row>
    <row r="22" spans="1:18" ht="25.5" customHeight="1">
      <c r="A22" s="5" t="s">
        <v>841</v>
      </c>
      <c r="B22" s="5" t="s">
        <v>833</v>
      </c>
      <c r="C22" s="5" t="s">
        <v>834</v>
      </c>
      <c r="D22" s="5" t="s">
        <v>835</v>
      </c>
      <c r="E22" s="5" t="s">
        <v>836</v>
      </c>
      <c r="F22" s="5" t="s">
        <v>842</v>
      </c>
      <c r="G22" s="5" t="s">
        <v>838</v>
      </c>
      <c r="H22" s="5" t="s">
        <v>686</v>
      </c>
      <c r="I22" s="5" t="s">
        <v>727</v>
      </c>
      <c r="J22" s="5" t="s">
        <v>58</v>
      </c>
      <c r="K22" s="5" t="s">
        <v>728</v>
      </c>
      <c r="L22" s="5" t="s">
        <v>729</v>
      </c>
      <c r="M22" s="5" t="s">
        <v>843</v>
      </c>
      <c r="N22" s="5">
        <v>500</v>
      </c>
      <c r="O22" s="5" t="s">
        <v>844</v>
      </c>
      <c r="P22" s="6"/>
      <c r="Q22" s="6"/>
      <c r="R22" s="6"/>
    </row>
    <row r="23" spans="1:18" ht="25.5" customHeight="1">
      <c r="A23" s="5" t="s">
        <v>845</v>
      </c>
      <c r="B23" s="5" t="s">
        <v>833</v>
      </c>
      <c r="C23" s="5" t="s">
        <v>834</v>
      </c>
      <c r="D23" s="5" t="s">
        <v>835</v>
      </c>
      <c r="E23" s="5" t="s">
        <v>836</v>
      </c>
      <c r="F23" s="5" t="s">
        <v>846</v>
      </c>
      <c r="G23" s="5" t="s">
        <v>838</v>
      </c>
      <c r="H23" s="5" t="s">
        <v>686</v>
      </c>
      <c r="I23" s="5" t="s">
        <v>727</v>
      </c>
      <c r="J23" s="5" t="s">
        <v>58</v>
      </c>
      <c r="K23" s="5" t="s">
        <v>728</v>
      </c>
      <c r="L23" s="5" t="s">
        <v>729</v>
      </c>
      <c r="M23" s="5" t="s">
        <v>847</v>
      </c>
      <c r="N23" s="5">
        <v>500</v>
      </c>
      <c r="O23" s="5" t="s">
        <v>848</v>
      </c>
      <c r="P23" s="6"/>
      <c r="Q23" s="6"/>
      <c r="R23" s="6"/>
    </row>
    <row r="24" spans="1:18" ht="38.25" customHeight="1">
      <c r="A24" s="5" t="s">
        <v>849</v>
      </c>
      <c r="B24" s="5" t="s">
        <v>850</v>
      </c>
      <c r="C24" s="5" t="s">
        <v>834</v>
      </c>
      <c r="D24" s="5" t="s">
        <v>835</v>
      </c>
      <c r="E24" s="5" t="s">
        <v>851</v>
      </c>
      <c r="F24" s="5" t="s">
        <v>837</v>
      </c>
      <c r="G24" s="5" t="s">
        <v>838</v>
      </c>
      <c r="H24" s="5" t="s">
        <v>686</v>
      </c>
      <c r="I24" s="5" t="s">
        <v>727</v>
      </c>
      <c r="J24" s="5" t="s">
        <v>58</v>
      </c>
      <c r="K24" s="5" t="s">
        <v>728</v>
      </c>
      <c r="L24" s="5" t="s">
        <v>736</v>
      </c>
      <c r="M24" s="5" t="s">
        <v>839</v>
      </c>
      <c r="N24" s="5">
        <v>500</v>
      </c>
      <c r="O24" s="5" t="s">
        <v>852</v>
      </c>
      <c r="P24" s="6"/>
      <c r="Q24" s="6"/>
      <c r="R24" s="6"/>
    </row>
    <row r="25" spans="1:18" ht="25.5" customHeight="1">
      <c r="A25" s="5" t="s">
        <v>853</v>
      </c>
      <c r="B25" s="5" t="s">
        <v>850</v>
      </c>
      <c r="C25" s="5" t="s">
        <v>834</v>
      </c>
      <c r="D25" s="5" t="s">
        <v>835</v>
      </c>
      <c r="E25" s="5" t="s">
        <v>851</v>
      </c>
      <c r="F25" s="5" t="s">
        <v>842</v>
      </c>
      <c r="G25" s="5" t="s">
        <v>838</v>
      </c>
      <c r="H25" s="5" t="s">
        <v>686</v>
      </c>
      <c r="I25" s="5" t="s">
        <v>727</v>
      </c>
      <c r="J25" s="5" t="s">
        <v>58</v>
      </c>
      <c r="K25" s="5" t="s">
        <v>728</v>
      </c>
      <c r="L25" s="5" t="s">
        <v>729</v>
      </c>
      <c r="M25" s="5" t="s">
        <v>843</v>
      </c>
      <c r="N25" s="5">
        <v>500</v>
      </c>
      <c r="O25" s="5" t="s">
        <v>854</v>
      </c>
      <c r="P25" s="6"/>
      <c r="Q25" s="6"/>
      <c r="R25" s="6"/>
    </row>
    <row r="26" spans="1:18" ht="25.5" customHeight="1">
      <c r="A26" s="5" t="s">
        <v>855</v>
      </c>
      <c r="B26" s="5" t="s">
        <v>850</v>
      </c>
      <c r="C26" s="5" t="s">
        <v>834</v>
      </c>
      <c r="D26" s="5" t="s">
        <v>835</v>
      </c>
      <c r="E26" s="5" t="s">
        <v>851</v>
      </c>
      <c r="F26" s="5" t="s">
        <v>846</v>
      </c>
      <c r="G26" s="5" t="s">
        <v>838</v>
      </c>
      <c r="H26" s="5" t="s">
        <v>686</v>
      </c>
      <c r="I26" s="5" t="s">
        <v>727</v>
      </c>
      <c r="J26" s="5" t="s">
        <v>58</v>
      </c>
      <c r="K26" s="5" t="s">
        <v>728</v>
      </c>
      <c r="L26" s="5" t="s">
        <v>729</v>
      </c>
      <c r="M26" s="5" t="s">
        <v>847</v>
      </c>
      <c r="N26" s="5">
        <v>500</v>
      </c>
      <c r="O26" s="5" t="s">
        <v>856</v>
      </c>
      <c r="P26" s="6"/>
      <c r="Q26" s="6"/>
      <c r="R26" s="6"/>
    </row>
    <row r="27" spans="1:18" ht="25.5" customHeight="1">
      <c r="A27" s="5" t="s">
        <v>857</v>
      </c>
      <c r="B27" s="5" t="s">
        <v>858</v>
      </c>
      <c r="C27" s="5" t="s">
        <v>859</v>
      </c>
      <c r="D27" s="5" t="s">
        <v>860</v>
      </c>
      <c r="E27" s="5" t="s">
        <v>861</v>
      </c>
      <c r="F27" s="5" t="s">
        <v>732</v>
      </c>
      <c r="G27" s="5" t="s">
        <v>862</v>
      </c>
      <c r="H27" s="5" t="s">
        <v>104</v>
      </c>
      <c r="I27" s="5" t="s">
        <v>727</v>
      </c>
      <c r="J27" s="5" t="s">
        <v>757</v>
      </c>
      <c r="K27" s="5" t="s">
        <v>758</v>
      </c>
      <c r="L27" s="5" t="s">
        <v>736</v>
      </c>
      <c r="M27" s="5" t="s">
        <v>863</v>
      </c>
      <c r="N27" s="5">
        <v>40000</v>
      </c>
      <c r="O27" s="5" t="s">
        <v>864</v>
      </c>
      <c r="P27" s="6"/>
      <c r="Q27" s="6"/>
      <c r="R27" s="6"/>
    </row>
    <row r="28" spans="1:18" ht="25.5" customHeight="1">
      <c r="A28" s="5" t="s">
        <v>865</v>
      </c>
      <c r="B28" s="5" t="s">
        <v>866</v>
      </c>
      <c r="C28" s="5" t="s">
        <v>867</v>
      </c>
      <c r="D28" s="5" t="s">
        <v>868</v>
      </c>
      <c r="E28" s="5" t="s">
        <v>869</v>
      </c>
      <c r="F28" s="5" t="s">
        <v>732</v>
      </c>
      <c r="G28" s="5" t="s">
        <v>870</v>
      </c>
      <c r="H28" s="5" t="s">
        <v>104</v>
      </c>
      <c r="I28" s="5" t="s">
        <v>734</v>
      </c>
      <c r="J28" s="5" t="s">
        <v>36</v>
      </c>
      <c r="K28" s="5" t="s">
        <v>735</v>
      </c>
      <c r="L28" s="5" t="s">
        <v>736</v>
      </c>
      <c r="M28" s="5" t="s">
        <v>871</v>
      </c>
      <c r="N28" s="5">
        <v>30000</v>
      </c>
      <c r="O28" s="5" t="s">
        <v>872</v>
      </c>
      <c r="P28" s="6"/>
      <c r="Q28" s="6"/>
      <c r="R28" s="6"/>
    </row>
    <row r="29" spans="1:18" ht="38.25" customHeight="1">
      <c r="A29" s="5" t="s">
        <v>873</v>
      </c>
      <c r="B29" s="5" t="s">
        <v>874</v>
      </c>
      <c r="C29" s="5" t="s">
        <v>875</v>
      </c>
      <c r="D29" s="5" t="s">
        <v>876</v>
      </c>
      <c r="E29" s="5" t="s">
        <v>877</v>
      </c>
      <c r="F29" s="5" t="s">
        <v>878</v>
      </c>
      <c r="G29" s="5" t="s">
        <v>879</v>
      </c>
      <c r="H29" s="5" t="s">
        <v>104</v>
      </c>
      <c r="I29" s="5" t="s">
        <v>727</v>
      </c>
      <c r="J29" s="5" t="s">
        <v>757</v>
      </c>
      <c r="K29" s="5" t="s">
        <v>758</v>
      </c>
      <c r="L29" s="5" t="s">
        <v>729</v>
      </c>
      <c r="M29" s="5" t="s">
        <v>880</v>
      </c>
      <c r="N29" s="5">
        <v>500</v>
      </c>
      <c r="O29" s="5" t="s">
        <v>881</v>
      </c>
      <c r="P29" s="6"/>
      <c r="Q29" s="6"/>
      <c r="R29" s="6"/>
    </row>
    <row r="30" spans="1:18" ht="25.5" customHeight="1">
      <c r="A30" s="5" t="s">
        <v>882</v>
      </c>
      <c r="B30" s="5" t="s">
        <v>874</v>
      </c>
      <c r="C30" s="5" t="s">
        <v>875</v>
      </c>
      <c r="D30" s="5" t="s">
        <v>876</v>
      </c>
      <c r="E30" s="5" t="s">
        <v>877</v>
      </c>
      <c r="F30" s="5" t="s">
        <v>732</v>
      </c>
      <c r="G30" s="5" t="s">
        <v>883</v>
      </c>
      <c r="H30" s="5" t="s">
        <v>104</v>
      </c>
      <c r="I30" s="5" t="s">
        <v>734</v>
      </c>
      <c r="J30" s="5" t="s">
        <v>36</v>
      </c>
      <c r="K30" s="5" t="s">
        <v>735</v>
      </c>
      <c r="L30" s="5" t="s">
        <v>884</v>
      </c>
      <c r="M30" s="5" t="s">
        <v>885</v>
      </c>
      <c r="N30" s="5">
        <v>8000</v>
      </c>
      <c r="O30" s="5" t="s">
        <v>886</v>
      </c>
      <c r="P30" s="6"/>
      <c r="Q30" s="6"/>
      <c r="R30" s="6"/>
    </row>
    <row r="31" spans="1:18" ht="38.25" customHeight="1">
      <c r="A31" s="5" t="s">
        <v>887</v>
      </c>
      <c r="B31" s="5" t="s">
        <v>888</v>
      </c>
      <c r="C31" s="5" t="s">
        <v>889</v>
      </c>
      <c r="D31" s="5" t="s">
        <v>890</v>
      </c>
      <c r="E31" s="5" t="s">
        <v>891</v>
      </c>
      <c r="F31" s="5" t="s">
        <v>892</v>
      </c>
      <c r="G31" s="5" t="s">
        <v>893</v>
      </c>
      <c r="H31" s="5" t="s">
        <v>686</v>
      </c>
      <c r="I31" s="5" t="s">
        <v>727</v>
      </c>
      <c r="J31" s="5" t="s">
        <v>58</v>
      </c>
      <c r="K31" s="5" t="s">
        <v>728</v>
      </c>
      <c r="L31" s="5" t="s">
        <v>729</v>
      </c>
      <c r="M31" s="5" t="s">
        <v>894</v>
      </c>
      <c r="N31" s="5">
        <v>500</v>
      </c>
      <c r="O31" s="5" t="s">
        <v>895</v>
      </c>
      <c r="P31" s="6"/>
      <c r="Q31" s="6"/>
      <c r="R31" s="6"/>
    </row>
    <row r="32" spans="1:18" ht="25.5" customHeight="1">
      <c r="A32" s="5" t="s">
        <v>896</v>
      </c>
      <c r="B32" s="5" t="s">
        <v>888</v>
      </c>
      <c r="C32" s="5" t="s">
        <v>889</v>
      </c>
      <c r="D32" s="5" t="s">
        <v>890</v>
      </c>
      <c r="E32" s="5" t="s">
        <v>891</v>
      </c>
      <c r="F32" s="5" t="s">
        <v>732</v>
      </c>
      <c r="G32" s="5" t="s">
        <v>897</v>
      </c>
      <c r="H32" s="5" t="s">
        <v>104</v>
      </c>
      <c r="I32" s="5" t="s">
        <v>734</v>
      </c>
      <c r="J32" s="5" t="s">
        <v>36</v>
      </c>
      <c r="K32" s="5" t="s">
        <v>735</v>
      </c>
      <c r="L32" s="5" t="s">
        <v>736</v>
      </c>
      <c r="M32" s="5" t="s">
        <v>898</v>
      </c>
      <c r="N32" s="5">
        <v>16000</v>
      </c>
      <c r="O32" s="5" t="s">
        <v>899</v>
      </c>
      <c r="P32" s="6"/>
      <c r="Q32" s="6"/>
      <c r="R32" s="6"/>
    </row>
    <row r="33" spans="1:18" ht="25.5" customHeight="1">
      <c r="A33" s="5" t="s">
        <v>900</v>
      </c>
      <c r="B33" s="5" t="s">
        <v>901</v>
      </c>
      <c r="C33" s="5" t="s">
        <v>902</v>
      </c>
      <c r="D33" s="5" t="s">
        <v>903</v>
      </c>
      <c r="E33" s="5" t="s">
        <v>904</v>
      </c>
      <c r="F33" s="5" t="s">
        <v>732</v>
      </c>
      <c r="G33" s="5" t="s">
        <v>905</v>
      </c>
      <c r="H33" s="5" t="s">
        <v>104</v>
      </c>
      <c r="I33" s="5" t="s">
        <v>734</v>
      </c>
      <c r="J33" s="5" t="s">
        <v>36</v>
      </c>
      <c r="K33" s="5" t="s">
        <v>735</v>
      </c>
      <c r="L33" s="5" t="s">
        <v>736</v>
      </c>
      <c r="M33" s="5" t="s">
        <v>906</v>
      </c>
      <c r="N33" s="5">
        <v>16000</v>
      </c>
      <c r="O33" s="5" t="s">
        <v>907</v>
      </c>
      <c r="P33" s="6"/>
      <c r="Q33" s="6"/>
      <c r="R33" s="6"/>
    </row>
    <row r="34" spans="1:18" ht="25.5" customHeight="1">
      <c r="A34" s="5" t="s">
        <v>908</v>
      </c>
      <c r="B34" s="5" t="s">
        <v>909</v>
      </c>
      <c r="C34" s="5" t="s">
        <v>910</v>
      </c>
      <c r="D34" s="5" t="s">
        <v>911</v>
      </c>
      <c r="E34" s="5" t="s">
        <v>912</v>
      </c>
      <c r="F34" s="5" t="s">
        <v>913</v>
      </c>
      <c r="G34" s="5" t="s">
        <v>914</v>
      </c>
      <c r="H34" s="5" t="s">
        <v>686</v>
      </c>
      <c r="I34" s="5" t="s">
        <v>727</v>
      </c>
      <c r="J34" s="5" t="s">
        <v>58</v>
      </c>
      <c r="K34" s="5" t="s">
        <v>728</v>
      </c>
      <c r="L34" s="5" t="s">
        <v>729</v>
      </c>
      <c r="M34" s="5" t="s">
        <v>915</v>
      </c>
      <c r="N34" s="5">
        <v>500</v>
      </c>
      <c r="O34" s="5" t="s">
        <v>916</v>
      </c>
      <c r="P34" s="6"/>
      <c r="Q34" s="6"/>
      <c r="R34" s="6"/>
    </row>
    <row r="35" spans="1:18" ht="25.5" customHeight="1">
      <c r="A35" s="5" t="s">
        <v>917</v>
      </c>
      <c r="B35" s="5" t="s">
        <v>909</v>
      </c>
      <c r="C35" s="5" t="s">
        <v>910</v>
      </c>
      <c r="D35" s="5" t="s">
        <v>911</v>
      </c>
      <c r="E35" s="5" t="s">
        <v>912</v>
      </c>
      <c r="F35" s="5" t="s">
        <v>918</v>
      </c>
      <c r="G35" s="5" t="s">
        <v>919</v>
      </c>
      <c r="H35" s="5" t="s">
        <v>686</v>
      </c>
      <c r="I35" s="5" t="s">
        <v>727</v>
      </c>
      <c r="J35" s="5" t="s">
        <v>58</v>
      </c>
      <c r="K35" s="5" t="s">
        <v>728</v>
      </c>
      <c r="L35" s="5" t="s">
        <v>729</v>
      </c>
      <c r="M35" s="5" t="s">
        <v>920</v>
      </c>
      <c r="N35" s="5">
        <v>500</v>
      </c>
      <c r="O35" s="5" t="s">
        <v>921</v>
      </c>
      <c r="P35" s="6"/>
      <c r="Q35" s="6"/>
      <c r="R35" s="6"/>
    </row>
    <row r="36" spans="1:18" ht="25.5" customHeight="1">
      <c r="A36" s="5" t="s">
        <v>922</v>
      </c>
      <c r="B36" s="5" t="s">
        <v>909</v>
      </c>
      <c r="C36" s="5" t="s">
        <v>910</v>
      </c>
      <c r="D36" s="5" t="s">
        <v>911</v>
      </c>
      <c r="E36" s="5" t="s">
        <v>912</v>
      </c>
      <c r="F36" s="5" t="s">
        <v>732</v>
      </c>
      <c r="G36" s="5" t="s">
        <v>923</v>
      </c>
      <c r="H36" s="5" t="s">
        <v>104</v>
      </c>
      <c r="I36" s="5" t="s">
        <v>734</v>
      </c>
      <c r="J36" s="5" t="s">
        <v>36</v>
      </c>
      <c r="K36" s="5" t="s">
        <v>735</v>
      </c>
      <c r="L36" s="5" t="s">
        <v>884</v>
      </c>
      <c r="M36" s="5" t="s">
        <v>924</v>
      </c>
      <c r="N36" s="5">
        <v>40000</v>
      </c>
      <c r="O36" s="5" t="s">
        <v>925</v>
      </c>
      <c r="P36" s="6"/>
      <c r="Q36" s="6"/>
      <c r="R36" s="6"/>
    </row>
    <row r="37" spans="1:18" ht="25.5" customHeight="1">
      <c r="A37" s="5" t="s">
        <v>926</v>
      </c>
      <c r="B37" s="5" t="s">
        <v>909</v>
      </c>
      <c r="C37" s="5" t="s">
        <v>910</v>
      </c>
      <c r="D37" s="5" t="s">
        <v>911</v>
      </c>
      <c r="E37" s="5" t="s">
        <v>912</v>
      </c>
      <c r="F37" s="5" t="s">
        <v>927</v>
      </c>
      <c r="G37" s="5" t="s">
        <v>928</v>
      </c>
      <c r="H37" s="5" t="s">
        <v>686</v>
      </c>
      <c r="I37" s="5" t="s">
        <v>727</v>
      </c>
      <c r="J37" s="5" t="s">
        <v>58</v>
      </c>
      <c r="K37" s="5" t="s">
        <v>728</v>
      </c>
      <c r="L37" s="5" t="s">
        <v>736</v>
      </c>
      <c r="M37" s="5" t="s">
        <v>929</v>
      </c>
      <c r="N37" s="5">
        <v>1000</v>
      </c>
      <c r="O37" s="5" t="s">
        <v>930</v>
      </c>
      <c r="P37" s="6"/>
      <c r="Q37" s="6"/>
      <c r="R37" s="6"/>
    </row>
    <row r="38" spans="1:18" ht="25.5" customHeight="1">
      <c r="A38" s="5" t="s">
        <v>931</v>
      </c>
      <c r="B38" s="5" t="s">
        <v>932</v>
      </c>
      <c r="C38" s="5" t="s">
        <v>933</v>
      </c>
      <c r="D38" s="5" t="s">
        <v>934</v>
      </c>
      <c r="E38" s="5" t="s">
        <v>935</v>
      </c>
      <c r="F38" s="5" t="s">
        <v>732</v>
      </c>
      <c r="G38" s="5" t="s">
        <v>936</v>
      </c>
      <c r="H38" s="5" t="s">
        <v>104</v>
      </c>
      <c r="I38" s="5" t="s">
        <v>734</v>
      </c>
      <c r="J38" s="5" t="s">
        <v>36</v>
      </c>
      <c r="K38" s="5" t="s">
        <v>735</v>
      </c>
      <c r="L38" s="5" t="s">
        <v>736</v>
      </c>
      <c r="M38" s="5" t="s">
        <v>937</v>
      </c>
      <c r="N38" s="5">
        <v>6000</v>
      </c>
      <c r="O38" s="5" t="s">
        <v>938</v>
      </c>
      <c r="P38" s="6"/>
      <c r="Q38" s="6"/>
      <c r="R38" s="6"/>
    </row>
    <row r="39" spans="1:18" ht="25.5" customHeight="1">
      <c r="A39" s="5" t="s">
        <v>939</v>
      </c>
      <c r="B39" s="5" t="s">
        <v>940</v>
      </c>
      <c r="C39" s="5" t="s">
        <v>941</v>
      </c>
      <c r="D39" s="5" t="s">
        <v>942</v>
      </c>
      <c r="E39" s="5" t="s">
        <v>943</v>
      </c>
      <c r="F39" s="5" t="s">
        <v>732</v>
      </c>
      <c r="G39" s="5" t="s">
        <v>944</v>
      </c>
      <c r="H39" s="5" t="s">
        <v>104</v>
      </c>
      <c r="I39" s="5" t="s">
        <v>734</v>
      </c>
      <c r="J39" s="5" t="s">
        <v>36</v>
      </c>
      <c r="K39" s="5" t="s">
        <v>735</v>
      </c>
      <c r="L39" s="5" t="s">
        <v>884</v>
      </c>
      <c r="M39" s="5" t="s">
        <v>945</v>
      </c>
      <c r="N39" s="5">
        <v>8000</v>
      </c>
      <c r="O39" s="5" t="s">
        <v>946</v>
      </c>
      <c r="P39" s="6"/>
      <c r="Q39" s="6"/>
      <c r="R39" s="6"/>
    </row>
    <row r="40" spans="1:18" ht="38.25" customHeight="1">
      <c r="A40" s="5" t="s">
        <v>947</v>
      </c>
      <c r="B40" s="5" t="s">
        <v>948</v>
      </c>
      <c r="C40" s="5" t="s">
        <v>949</v>
      </c>
      <c r="D40" s="5" t="s">
        <v>950</v>
      </c>
      <c r="E40" s="5" t="s">
        <v>951</v>
      </c>
      <c r="F40" s="5" t="s">
        <v>952</v>
      </c>
      <c r="G40" s="5" t="s">
        <v>953</v>
      </c>
      <c r="H40" s="5" t="s">
        <v>104</v>
      </c>
      <c r="I40" s="5" t="s">
        <v>727</v>
      </c>
      <c r="J40" s="5" t="s">
        <v>757</v>
      </c>
      <c r="K40" s="5" t="s">
        <v>758</v>
      </c>
      <c r="L40" s="5" t="s">
        <v>729</v>
      </c>
      <c r="M40" s="5" t="s">
        <v>954</v>
      </c>
      <c r="N40" s="5">
        <v>500</v>
      </c>
      <c r="O40" s="5" t="s">
        <v>955</v>
      </c>
      <c r="P40" s="6"/>
      <c r="Q40" s="6"/>
      <c r="R40" s="6"/>
    </row>
    <row r="41" spans="1:18" ht="25.5" customHeight="1">
      <c r="A41" s="5" t="s">
        <v>956</v>
      </c>
      <c r="B41" s="5" t="s">
        <v>948</v>
      </c>
      <c r="C41" s="5" t="s">
        <v>949</v>
      </c>
      <c r="D41" s="5" t="s">
        <v>950</v>
      </c>
      <c r="E41" s="5" t="s">
        <v>951</v>
      </c>
      <c r="F41" s="5" t="s">
        <v>732</v>
      </c>
      <c r="G41" s="5" t="s">
        <v>957</v>
      </c>
      <c r="H41" s="5" t="s">
        <v>104</v>
      </c>
      <c r="I41" s="5" t="s">
        <v>727</v>
      </c>
      <c r="J41" s="5" t="s">
        <v>757</v>
      </c>
      <c r="K41" s="5" t="s">
        <v>758</v>
      </c>
      <c r="L41" s="5" t="s">
        <v>736</v>
      </c>
      <c r="M41" s="5" t="s">
        <v>958</v>
      </c>
      <c r="N41" s="5">
        <v>24000</v>
      </c>
      <c r="O41" s="5" t="s">
        <v>959</v>
      </c>
      <c r="P41" s="6"/>
      <c r="Q41" s="6"/>
      <c r="R41" s="6"/>
    </row>
    <row r="42" spans="1:18" ht="25.5" customHeight="1">
      <c r="A42" s="5" t="s">
        <v>960</v>
      </c>
      <c r="B42" s="5" t="s">
        <v>961</v>
      </c>
      <c r="C42" s="5" t="s">
        <v>962</v>
      </c>
      <c r="D42" s="5" t="s">
        <v>963</v>
      </c>
      <c r="E42" s="5" t="s">
        <v>964</v>
      </c>
      <c r="F42" s="5" t="s">
        <v>732</v>
      </c>
      <c r="G42" s="5" t="s">
        <v>965</v>
      </c>
      <c r="H42" s="5" t="s">
        <v>686</v>
      </c>
      <c r="I42" s="5" t="s">
        <v>727</v>
      </c>
      <c r="J42" s="5" t="s">
        <v>58</v>
      </c>
      <c r="K42" s="5" t="s">
        <v>728</v>
      </c>
      <c r="L42" s="5" t="s">
        <v>736</v>
      </c>
      <c r="M42" s="5" t="s">
        <v>966</v>
      </c>
      <c r="N42" s="5">
        <v>16000</v>
      </c>
      <c r="O42" s="5" t="s">
        <v>967</v>
      </c>
      <c r="P42" s="6"/>
      <c r="Q42" s="6"/>
      <c r="R42" s="6"/>
    </row>
    <row r="43" spans="1:18" ht="25.5" customHeight="1">
      <c r="A43" s="5" t="s">
        <v>968</v>
      </c>
      <c r="B43" s="5" t="s">
        <v>969</v>
      </c>
      <c r="C43" s="5" t="s">
        <v>970</v>
      </c>
      <c r="D43" s="5" t="s">
        <v>971</v>
      </c>
      <c r="E43" s="5" t="s">
        <v>972</v>
      </c>
      <c r="F43" s="5" t="s">
        <v>732</v>
      </c>
      <c r="G43" s="5" t="s">
        <v>973</v>
      </c>
      <c r="H43" s="5" t="s">
        <v>686</v>
      </c>
      <c r="I43" s="5" t="s">
        <v>727</v>
      </c>
      <c r="J43" s="5" t="s">
        <v>58</v>
      </c>
      <c r="K43" s="5" t="s">
        <v>728</v>
      </c>
      <c r="L43" s="5" t="s">
        <v>736</v>
      </c>
      <c r="M43" s="5" t="s">
        <v>974</v>
      </c>
      <c r="N43" s="5">
        <v>24000</v>
      </c>
      <c r="O43" s="5" t="s">
        <v>975</v>
      </c>
      <c r="P43" s="6"/>
      <c r="Q43" s="6"/>
      <c r="R43" s="6"/>
    </row>
    <row r="44" spans="1:18" ht="38.25" customHeight="1">
      <c r="A44" s="5" t="s">
        <v>976</v>
      </c>
      <c r="B44" s="5" t="s">
        <v>977</v>
      </c>
      <c r="C44" s="5" t="s">
        <v>978</v>
      </c>
      <c r="D44" s="5" t="s">
        <v>979</v>
      </c>
      <c r="E44" s="5" t="s">
        <v>980</v>
      </c>
      <c r="F44" s="5" t="s">
        <v>981</v>
      </c>
      <c r="G44" s="5" t="s">
        <v>982</v>
      </c>
      <c r="H44" s="5" t="s">
        <v>104</v>
      </c>
      <c r="I44" s="5" t="s">
        <v>783</v>
      </c>
      <c r="J44" s="5" t="s">
        <v>78</v>
      </c>
      <c r="K44" s="5" t="s">
        <v>784</v>
      </c>
      <c r="L44" s="5" t="s">
        <v>736</v>
      </c>
      <c r="M44" s="5" t="s">
        <v>983</v>
      </c>
      <c r="N44" s="5">
        <v>500</v>
      </c>
      <c r="O44" s="5" t="s">
        <v>984</v>
      </c>
      <c r="P44" s="6"/>
      <c r="Q44" s="6"/>
      <c r="R44" s="6"/>
    </row>
    <row r="45" spans="1:18" ht="25.5" customHeight="1">
      <c r="A45" s="5" t="s">
        <v>985</v>
      </c>
      <c r="B45" s="5" t="s">
        <v>977</v>
      </c>
      <c r="C45" s="5" t="s">
        <v>978</v>
      </c>
      <c r="D45" s="5" t="s">
        <v>979</v>
      </c>
      <c r="E45" s="5" t="s">
        <v>980</v>
      </c>
      <c r="F45" s="5" t="s">
        <v>986</v>
      </c>
      <c r="G45" s="5" t="s">
        <v>987</v>
      </c>
      <c r="H45" s="5" t="s">
        <v>104</v>
      </c>
      <c r="I45" s="5" t="s">
        <v>783</v>
      </c>
      <c r="J45" s="5" t="s">
        <v>78</v>
      </c>
      <c r="K45" s="5" t="s">
        <v>784</v>
      </c>
      <c r="L45" s="5" t="s">
        <v>729</v>
      </c>
      <c r="M45" s="5" t="s">
        <v>988</v>
      </c>
      <c r="N45" s="5">
        <v>500</v>
      </c>
      <c r="O45" s="5" t="s">
        <v>989</v>
      </c>
      <c r="P45" s="6"/>
      <c r="Q45" s="6"/>
      <c r="R45" s="6"/>
    </row>
    <row r="46" spans="1:18" ht="25.5" customHeight="1">
      <c r="A46" s="5" t="s">
        <v>990</v>
      </c>
      <c r="B46" s="5" t="s">
        <v>977</v>
      </c>
      <c r="C46" s="5" t="s">
        <v>978</v>
      </c>
      <c r="D46" s="5" t="s">
        <v>979</v>
      </c>
      <c r="E46" s="5" t="s">
        <v>991</v>
      </c>
      <c r="F46" s="5" t="s">
        <v>732</v>
      </c>
      <c r="G46" s="5" t="s">
        <v>987</v>
      </c>
      <c r="H46" s="5" t="s">
        <v>104</v>
      </c>
      <c r="I46" s="5" t="s">
        <v>734</v>
      </c>
      <c r="J46" s="5" t="s">
        <v>36</v>
      </c>
      <c r="K46" s="5" t="s">
        <v>735</v>
      </c>
      <c r="L46" s="5" t="s">
        <v>884</v>
      </c>
      <c r="M46" s="5" t="s">
        <v>992</v>
      </c>
      <c r="N46" s="5">
        <v>8000</v>
      </c>
      <c r="O46" s="5" t="s">
        <v>993</v>
      </c>
      <c r="P46" s="6"/>
      <c r="Q46" s="6"/>
      <c r="R46" s="6"/>
    </row>
    <row r="47" spans="1:18" ht="25.5" customHeight="1">
      <c r="A47" s="5" t="s">
        <v>994</v>
      </c>
      <c r="B47" s="5" t="s">
        <v>995</v>
      </c>
      <c r="C47" s="5" t="s">
        <v>996</v>
      </c>
      <c r="D47" s="5" t="s">
        <v>997</v>
      </c>
      <c r="E47" s="5" t="s">
        <v>991</v>
      </c>
      <c r="F47" s="5" t="s">
        <v>732</v>
      </c>
      <c r="G47" s="5" t="s">
        <v>998</v>
      </c>
      <c r="H47" s="5" t="s">
        <v>686</v>
      </c>
      <c r="I47" s="5" t="s">
        <v>727</v>
      </c>
      <c r="J47" s="5" t="s">
        <v>58</v>
      </c>
      <c r="K47" s="5" t="s">
        <v>728</v>
      </c>
      <c r="L47" s="5" t="s">
        <v>884</v>
      </c>
      <c r="M47" s="5" t="s">
        <v>999</v>
      </c>
      <c r="N47" s="5">
        <v>8000</v>
      </c>
      <c r="O47" s="5" t="s">
        <v>1000</v>
      </c>
      <c r="P47" s="6"/>
      <c r="Q47" s="6"/>
      <c r="R47" s="6"/>
    </row>
    <row r="48" spans="1:18" ht="38.25" customHeight="1">
      <c r="A48" s="5" t="s">
        <v>1001</v>
      </c>
      <c r="B48" s="5" t="s">
        <v>1002</v>
      </c>
      <c r="C48" s="5" t="s">
        <v>1003</v>
      </c>
      <c r="D48" s="5" t="s">
        <v>1004</v>
      </c>
      <c r="E48" s="5" t="s">
        <v>1005</v>
      </c>
      <c r="F48" s="5" t="s">
        <v>732</v>
      </c>
      <c r="G48" s="5" t="s">
        <v>1006</v>
      </c>
      <c r="H48" s="5" t="s">
        <v>686</v>
      </c>
      <c r="I48" s="5" t="s">
        <v>727</v>
      </c>
      <c r="J48" s="5" t="s">
        <v>58</v>
      </c>
      <c r="K48" s="5" t="s">
        <v>728</v>
      </c>
      <c r="L48" s="5" t="s">
        <v>736</v>
      </c>
      <c r="M48" s="5" t="s">
        <v>1007</v>
      </c>
      <c r="N48" s="5">
        <v>16000</v>
      </c>
      <c r="O48" s="5" t="s">
        <v>1008</v>
      </c>
      <c r="P48" s="6"/>
      <c r="Q48" s="6"/>
      <c r="R48" s="6"/>
    </row>
    <row r="49" spans="1:18" ht="38.25" customHeight="1">
      <c r="A49" s="5" t="s">
        <v>1009</v>
      </c>
      <c r="B49" s="5" t="s">
        <v>1010</v>
      </c>
      <c r="C49" s="5" t="s">
        <v>1011</v>
      </c>
      <c r="D49" s="5" t="s">
        <v>1012</v>
      </c>
      <c r="E49" s="5" t="s">
        <v>1013</v>
      </c>
      <c r="F49" s="5" t="s">
        <v>1014</v>
      </c>
      <c r="G49" s="5" t="s">
        <v>1015</v>
      </c>
      <c r="H49" s="5" t="s">
        <v>104</v>
      </c>
      <c r="I49" s="5" t="s">
        <v>783</v>
      </c>
      <c r="J49" s="5" t="s">
        <v>78</v>
      </c>
      <c r="K49" s="5" t="s">
        <v>784</v>
      </c>
      <c r="L49" s="5" t="s">
        <v>729</v>
      </c>
      <c r="M49" s="5" t="s">
        <v>988</v>
      </c>
      <c r="N49" s="5">
        <v>500</v>
      </c>
      <c r="O49" s="5" t="s">
        <v>1016</v>
      </c>
      <c r="P49" s="6"/>
      <c r="Q49" s="6"/>
      <c r="R49" s="6"/>
    </row>
    <row r="50" spans="1:18" ht="38.25" customHeight="1">
      <c r="A50" s="5" t="s">
        <v>1017</v>
      </c>
      <c r="B50" s="5" t="s">
        <v>1010</v>
      </c>
      <c r="C50" s="5" t="s">
        <v>1011</v>
      </c>
      <c r="D50" s="5" t="s">
        <v>1012</v>
      </c>
      <c r="E50" s="5" t="s">
        <v>1013</v>
      </c>
      <c r="F50" s="5" t="s">
        <v>732</v>
      </c>
      <c r="G50" s="5" t="s">
        <v>1018</v>
      </c>
      <c r="H50" s="5" t="s">
        <v>686</v>
      </c>
      <c r="I50" s="5" t="s">
        <v>727</v>
      </c>
      <c r="J50" s="5" t="s">
        <v>58</v>
      </c>
      <c r="K50" s="5" t="s">
        <v>728</v>
      </c>
      <c r="L50" s="5" t="s">
        <v>736</v>
      </c>
      <c r="M50" s="5" t="s">
        <v>1019</v>
      </c>
      <c r="N50" s="5">
        <v>16000</v>
      </c>
      <c r="O50" s="5" t="s">
        <v>1020</v>
      </c>
      <c r="P50" s="6"/>
      <c r="Q50" s="6"/>
      <c r="R50" s="6"/>
    </row>
    <row r="51" spans="1:18" ht="25.5" customHeight="1">
      <c r="A51" s="5" t="s">
        <v>1021</v>
      </c>
      <c r="B51" s="5" t="s">
        <v>1022</v>
      </c>
      <c r="C51" s="5" t="s">
        <v>1023</v>
      </c>
      <c r="D51" s="5" t="s">
        <v>1024</v>
      </c>
      <c r="E51" s="5" t="s">
        <v>1025</v>
      </c>
      <c r="F51" s="5" t="s">
        <v>732</v>
      </c>
      <c r="G51" s="5" t="s">
        <v>1026</v>
      </c>
      <c r="H51" s="5" t="s">
        <v>686</v>
      </c>
      <c r="I51" s="5" t="s">
        <v>727</v>
      </c>
      <c r="J51" s="5" t="s">
        <v>58</v>
      </c>
      <c r="K51" s="5" t="s">
        <v>728</v>
      </c>
      <c r="L51" s="5" t="s">
        <v>884</v>
      </c>
      <c r="M51" s="5" t="s">
        <v>1027</v>
      </c>
      <c r="N51" s="5">
        <v>24000</v>
      </c>
      <c r="O51" s="5" t="s">
        <v>1028</v>
      </c>
      <c r="P51" s="6"/>
      <c r="Q51" s="6"/>
      <c r="R51" s="6"/>
    </row>
    <row r="52" spans="1:18" ht="25.5" customHeight="1">
      <c r="A52" s="5" t="s">
        <v>1029</v>
      </c>
      <c r="B52" s="5" t="s">
        <v>1030</v>
      </c>
      <c r="C52" s="5" t="s">
        <v>1031</v>
      </c>
      <c r="D52" s="5" t="s">
        <v>1032</v>
      </c>
      <c r="E52" s="5" t="s">
        <v>1033</v>
      </c>
      <c r="F52" s="5" t="s">
        <v>732</v>
      </c>
      <c r="G52" s="5" t="s">
        <v>998</v>
      </c>
      <c r="H52" s="5" t="s">
        <v>686</v>
      </c>
      <c r="I52" s="5" t="s">
        <v>727</v>
      </c>
      <c r="J52" s="5" t="s">
        <v>58</v>
      </c>
      <c r="K52" s="5" t="s">
        <v>728</v>
      </c>
      <c r="L52" s="5" t="s">
        <v>884</v>
      </c>
      <c r="M52" s="5" t="s">
        <v>1034</v>
      </c>
      <c r="N52" s="5">
        <v>24000</v>
      </c>
      <c r="O52" s="5" t="s">
        <v>1035</v>
      </c>
      <c r="P52" s="6"/>
      <c r="Q52" s="6"/>
      <c r="R52" s="6"/>
    </row>
  </sheetData>
  <autoFilter ref="A1:R52" xr:uid="{00000000-0009-0000-0000-000004000000}"/>
  <dataValidations count="1">
    <dataValidation type="list" allowBlank="1" sqref="P2:P52" xr:uid="{00000000-0002-0000-0400-000000000000}">
      <formula1>"S,N"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Francisco Meneses Avila</dc:creator>
  <cp:keywords/>
  <dc:description/>
  <cp:lastModifiedBy>Francisco Meneses Avila</cp:lastModifiedBy>
  <cp:revision>0</cp:revision>
  <dcterms:created xsi:type="dcterms:W3CDTF">2026-10-09T20:40:21Z</dcterms:created>
  <dcterms:modified xsi:type="dcterms:W3CDTF">2026-10-09T20:40:49Z</dcterms:modified>
  <cp:category/>
  <cp:contentStatus/>
</cp:coreProperties>
</file>